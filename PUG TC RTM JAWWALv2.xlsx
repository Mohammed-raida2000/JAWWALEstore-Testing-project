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ملفات جودة  البرمجيات\مشاريع  حقيقة تعليمية\test paln  , test  case , pug report\"/>
    </mc:Choice>
  </mc:AlternateContent>
  <xr:revisionPtr revIDLastSave="0" documentId="13_ncr:1_{8353145C-C5CB-401E-AD2D-2078216B3248}" xr6:coauthVersionLast="36" xr6:coauthVersionMax="36" xr10:uidLastSave="{00000000-0000-0000-0000-000000000000}"/>
  <bookViews>
    <workbookView xWindow="0" yWindow="0" windowWidth="10140" windowHeight="7020" tabRatio="949" activeTab="5" xr2:uid="{00000000-000D-0000-FFFF-FFFF00000000}"/>
  </bookViews>
  <sheets>
    <sheet name="Requirement Traceability Matrix" sheetId="1" r:id="rId1"/>
    <sheet name="Test Cases" sheetId="2" r:id="rId2"/>
    <sheet name="Bugs" sheetId="3" r:id="rId3"/>
    <sheet name="Legend" sheetId="4" r:id="rId4"/>
    <sheet name="Summary" sheetId="5" r:id="rId5"/>
    <sheet name="TS-001" sheetId="6" r:id="rId6"/>
    <sheet name="TS-002" sheetId="7" r:id="rId7"/>
    <sheet name="TS-003" sheetId="8" r:id="rId8"/>
    <sheet name="TS-004" sheetId="9" r:id="rId9"/>
    <sheet name="TS-005" sheetId="10" r:id="rId10"/>
    <sheet name="TS-006" sheetId="11" r:id="rId11"/>
    <sheet name="TS-007" sheetId="12" r:id="rId12"/>
  </sheets>
  <calcPr calcId="191029"/>
</workbook>
</file>

<file path=xl/calcChain.xml><?xml version="1.0" encoding="utf-8"?>
<calcChain xmlns="http://schemas.openxmlformats.org/spreadsheetml/2006/main">
  <c r="J2" i="3" l="1"/>
  <c r="H2" i="3"/>
  <c r="F2" i="3"/>
  <c r="D2" i="3"/>
  <c r="B2" i="3"/>
  <c r="A26" i="2"/>
  <c r="A10" i="2"/>
  <c r="A11" i="2" s="1"/>
  <c r="K6" i="2"/>
  <c r="E6" i="2"/>
  <c r="K5" i="2"/>
  <c r="E5" i="2"/>
  <c r="K4" i="2"/>
  <c r="E4" i="2"/>
  <c r="A12" i="2" l="1"/>
  <c r="A13" i="2" s="1"/>
  <c r="A14" i="2" s="1"/>
  <c r="A16" i="2" s="1"/>
  <c r="A17" i="2" s="1"/>
  <c r="A18" i="2" s="1"/>
  <c r="A19" i="2" s="1"/>
  <c r="A20" i="2" s="1"/>
  <c r="A21" i="2" s="1"/>
  <c r="A22" i="2" s="1"/>
  <c r="A23" i="2" s="1"/>
  <c r="A25" i="2" s="1"/>
  <c r="A27" i="2" s="1"/>
  <c r="E3" i="2" l="1"/>
  <c r="K3" i="2"/>
</calcChain>
</file>

<file path=xl/sharedStrings.xml><?xml version="1.0" encoding="utf-8"?>
<sst xmlns="http://schemas.openxmlformats.org/spreadsheetml/2006/main" count="1525" uniqueCount="859">
  <si>
    <t>Requirement Traceability Matrix</t>
  </si>
  <si>
    <t>Req ID</t>
  </si>
  <si>
    <t>Requirement Title</t>
  </si>
  <si>
    <t>Requirement Description</t>
  </si>
  <si>
    <t>Priority</t>
  </si>
  <si>
    <t>Test Case ID</t>
  </si>
  <si>
    <t>Test Case Title</t>
  </si>
  <si>
    <t>Test Status</t>
  </si>
  <si>
    <t>Execution Status</t>
  </si>
  <si>
    <t>Defect ID</t>
  </si>
  <si>
    <t>Notes</t>
  </si>
  <si>
    <t>REQ-001</t>
  </si>
  <si>
    <t>User Authentication</t>
  </si>
  <si>
    <t>System shall allow users to register and login securely</t>
  </si>
  <si>
    <t>P1</t>
  </si>
  <si>
    <t>TC-002</t>
  </si>
  <si>
    <t>Register new account with valid data</t>
  </si>
  <si>
    <t>Test Ready</t>
  </si>
  <si>
    <t>Not Executed</t>
  </si>
  <si>
    <t>REQ-002</t>
  </si>
  <si>
    <t>Product Search</t>
  </si>
  <si>
    <t>System shall allow users to search products by keyword</t>
  </si>
  <si>
    <t>TC-007</t>
  </si>
  <si>
    <t>Search for a product by valid keyword</t>
  </si>
  <si>
    <t>REQ-003</t>
  </si>
  <si>
    <t>Product Filtering</t>
  </si>
  <si>
    <t>System shall allow users to filter products by brand and price</t>
  </si>
  <si>
    <t>TC-011</t>
  </si>
  <si>
    <t>Filter products by brand — Samsung</t>
  </si>
  <si>
    <t>REQ-004</t>
  </si>
  <si>
    <t>Shopping Cart</t>
  </si>
  <si>
    <t>System shall allow users to add, remove, and update cart items</t>
  </si>
  <si>
    <t>TC-017</t>
  </si>
  <si>
    <t>Add a product to the cart</t>
  </si>
  <si>
    <t>BUG-002</t>
  </si>
  <si>
    <t>Cart total recalculation bug</t>
  </si>
  <si>
    <t>REQ-005</t>
  </si>
  <si>
    <t>Checkout Process</t>
  </si>
  <si>
    <t>System shall allow users to complete a purchase</t>
  </si>
  <si>
    <t>TC-023</t>
  </si>
  <si>
    <t>Complete a full purchase successfully</t>
  </si>
  <si>
    <t>BUG-005</t>
  </si>
  <si>
    <t>Checkout button unresponsive</t>
  </si>
  <si>
    <t>REQ-006</t>
  </si>
  <si>
    <t>Account Management</t>
  </si>
  <si>
    <t>System shall allow users to manage their profile and orders</t>
  </si>
  <si>
    <t>P2</t>
  </si>
  <si>
    <t>TC-028</t>
  </si>
  <si>
    <t>View order history</t>
  </si>
  <si>
    <t>REQ-007</t>
  </si>
  <si>
    <t>Mobile Compatibility</t>
  </si>
  <si>
    <t>System shall be fully responsive on mobile devices</t>
  </si>
  <si>
    <t>TC-030</t>
  </si>
  <si>
    <t>Verify website is mobile responsive</t>
  </si>
  <si>
    <t>BUG-015</t>
  </si>
  <si>
    <t>Horizontal scroll on mobile</t>
  </si>
  <si>
    <t>Test Cases</t>
  </si>
  <si>
    <t>Test Authoring Status</t>
  </si>
  <si>
    <t>Test Execution Status</t>
  </si>
  <si>
    <t># of Test Cases</t>
  </si>
  <si>
    <t># of Test Cases (to be authored)</t>
  </si>
  <si>
    <t># of Test Cases Executed</t>
  </si>
  <si>
    <t># of Test Cases (Pending review)</t>
  </si>
  <si>
    <t># of Test Cases passed</t>
  </si>
  <si>
    <t># of Test Cases (Test Ready)</t>
  </si>
  <si>
    <t># of Test Cases failed</t>
  </si>
  <si>
    <t>Test Case Id</t>
  </si>
  <si>
    <t>Test Scenarios ID</t>
  </si>
  <si>
    <t>Test Case Priority</t>
  </si>
  <si>
    <t>TC AStatus</t>
  </si>
  <si>
    <t>Title</t>
  </si>
  <si>
    <t>Pre conditions شروط  مسبقة  قبل تنفيد  ال tc</t>
  </si>
  <si>
    <t>Test Data</t>
  </si>
  <si>
    <t>Test Steps</t>
  </si>
  <si>
    <t>Expected Result</t>
  </si>
  <si>
    <t>Actual Result</t>
  </si>
  <si>
    <t>Bugs ID</t>
  </si>
  <si>
    <t>Executed By</t>
  </si>
  <si>
    <t>Executed Date</t>
  </si>
  <si>
    <t xml:space="preserve">reporter </t>
  </si>
  <si>
    <t>assignie</t>
  </si>
  <si>
    <t>enviroment</t>
  </si>
  <si>
    <t>Critical</t>
  </si>
  <si>
    <t>Register a new account with valid data</t>
  </si>
  <si>
    <t>No existing account with the test email</t>
  </si>
  <si>
    <t>Name: Test User | Email: testuser@mail.com | Password: Test@1234</t>
  </si>
  <si>
    <t xml:space="preserve">1. Navigate to https://estore.jawwal.ps/
2. Click 'Register' or 'Create Account'
3. Fill in: Name, Email,phone number,  Password, Confirm Password              4.confirm phone number - OTP
5. Click 'Submit' </t>
  </si>
  <si>
    <t xml:space="preserve">بنعبيها  بعد  تنفيد  ال  test  case </t>
  </si>
  <si>
    <t>Passed</t>
  </si>
  <si>
    <t>Mohammed Hazem Abu Raida</t>
  </si>
  <si>
    <t>Production</t>
  </si>
  <si>
    <t>Login with valid credentials</t>
  </si>
  <si>
    <t xml:space="preserve">A registered account must exist </t>
  </si>
  <si>
    <t>Email: testuser@mail.com | Password: Test@1234</t>
  </si>
  <si>
    <t>1. Navigate to the login page
2. Enter the registered email
3. Enter the correct password
4. Click 'Login'</t>
  </si>
  <si>
    <t>User is logged in and redirected to the homepage or dashboard.</t>
  </si>
  <si>
    <t>High</t>
  </si>
  <si>
    <t>Login with incorrect password</t>
  </si>
  <si>
    <t>A registered account must exist</t>
  </si>
  <si>
    <t>Email: testuser@mail.com | Password: WrongPass999</t>
  </si>
  <si>
    <t>1. Navigate to the login page
2. Enter the registered email
3. Enter a wrong password
4. Click 'Login'</t>
  </si>
  <si>
    <t>An error message is displayed: 'Invalid email or password. Please try again.'  or Please check your credentials and try again.</t>
  </si>
  <si>
    <t>Medium</t>
  </si>
  <si>
    <t>Login with empty fields</t>
  </si>
  <si>
    <t>User is on the login page</t>
  </si>
  <si>
    <t>Email: (empty) | Password: (empty)</t>
  </si>
  <si>
    <t>1. Navigate to the login page
2. Leave email and password fields blank
3. Click 'Login'</t>
  </si>
  <si>
    <t xml:space="preserve">Validation messages appear for both required field or                 login button is not appearing if one field empty or other              </t>
  </si>
  <si>
    <t>Request a password reset email</t>
  </si>
  <si>
    <t>Email: testuser@mail.com</t>
  </si>
  <si>
    <t>1. Click 'Forgot Password'
2. Enter the registered email address
3. Click 'Send Reset Link'</t>
  </si>
  <si>
    <t>A password reset email is sent to the provided address. Confirmation message displayed.</t>
  </si>
  <si>
    <t>Logout from a logged-in account</t>
  </si>
  <si>
    <t>User must be logged in</t>
  </si>
  <si>
    <t>N/A = Not Applicable</t>
  </si>
  <si>
    <t>1. Log in successfully
2. Click on the user menu or account icon
3. Click 'Logout'</t>
  </si>
  <si>
    <t>User is logged out and redirected to the homepage or login page.</t>
  </si>
  <si>
    <t>User is on any page of the website</t>
  </si>
  <si>
    <t>Keyword: iPhone</t>
  </si>
  <si>
    <t>1. Click on the search bar
2. Type 'iPhone'
3. Press Enter or click the Search icon</t>
  </si>
  <si>
    <t>Search with an empty query</t>
  </si>
  <si>
    <t>Keyword: (empty)</t>
  </si>
  <si>
    <t>1. Click on the search bar
2. Leave the input empty
3. Press Enter</t>
  </si>
  <si>
    <t>Low</t>
  </si>
  <si>
    <t>Search with special characters</t>
  </si>
  <si>
    <t>Keyword: @#$%!</t>
  </si>
  <si>
    <t>1. Click the search bar
2. Type '@#$%!'
3. Press Enter</t>
  </si>
  <si>
    <t>Search for a non-existing product</t>
  </si>
  <si>
    <t>Keyword: XYZ_NonExistent_999</t>
  </si>
  <si>
    <t>1. Click the search bar
2. Type 'XYZ_NonExistent_999'
3. Press Enter</t>
  </si>
  <si>
    <t>Brand filter: Samsung</t>
  </si>
  <si>
    <t>1. Open any product listing page
2. Expand the Brand filter panel
3. Select 'Samsung'
4. Click Apply</t>
  </si>
  <si>
    <t>Price range: 100 to 500 ILS</t>
  </si>
  <si>
    <t>1. Open any product listing page
2. Set the price range to 100–500
3. Click Apply</t>
  </si>
  <si>
    <t xml:space="preserve">search by  appar case string </t>
  </si>
  <si>
    <t>keyword: SUMMSING</t>
  </si>
  <si>
    <t>1. Click the search bar
2. Type 'SUMMSING'                        Press Enter or click the Search icon</t>
  </si>
  <si>
    <t xml:space="preserve">The application convert letters to lowercase letters and searches normally without an error message
</t>
  </si>
  <si>
    <t>Clear all applied filters</t>
  </si>
  <si>
    <t>At least one filter is currently applied</t>
  </si>
  <si>
    <t>N/A</t>
  </si>
  <si>
    <t>1. Apply Brand and Price filters
2. Click 'Clear All' or 'Reset Filters'</t>
  </si>
  <si>
    <t>All filters are removed. The full product list is restored.</t>
  </si>
  <si>
    <t>View product details page</t>
  </si>
  <si>
    <t>1. Click on any product from the listing
2. Wait for the details page to load</t>
  </si>
  <si>
    <t>Product name, price, images, description, and specifications are all clearly displayed.</t>
  </si>
  <si>
    <t>Add product to wishlist from details page</t>
  </si>
  <si>
    <t>1. Open any product details page
2. Click 'Add to Wishlist' icon or button</t>
  </si>
  <si>
    <t>Product is saved to wishlist. The icon changes to indicate the saved state.</t>
  </si>
  <si>
    <t>Product images load correctly</t>
  </si>
  <si>
    <t>Product details page is open</t>
  </si>
  <si>
    <t>1. Open any product details page
2. Observe image loading behavior and time</t>
  </si>
  <si>
    <t>All product images load within 3 seconds without blank areas.</t>
  </si>
  <si>
    <t>User is on a product page</t>
  </si>
  <si>
    <t>Product: Samsung Galaxy A54</t>
  </si>
  <si>
    <t>1. Open a product details page
2. Click 'Add to Cart'
3. Confirm if prompted</t>
  </si>
  <si>
    <t>Product is added to cart. Cart icon counter increases by 1.</t>
  </si>
  <si>
    <t>Remove a product from the cart</t>
  </si>
  <si>
    <t>At least one product is in the cart</t>
  </si>
  <si>
    <t>1. Open the cart
2. Click 'Remove' next to any product
3. Confirm removal</t>
  </si>
  <si>
    <t>Product is removed. Cart total is updated accordingly.</t>
  </si>
  <si>
    <t>Update product quantity in the cart</t>
  </si>
  <si>
    <t>Change quantity from 1 to 3</t>
  </si>
  <si>
    <t>1. Open the cart
2. Change the quantity of any product from 1 to 3
3. Click Update</t>
  </si>
  <si>
    <t>Quantity updates to 3. Total price recalculates correctly (unit price × 3).</t>
  </si>
  <si>
    <t>Verify cart total is calculated correctly</t>
  </si>
  <si>
    <t>Product A: 500 ILS | Product B: 300 ILS</t>
  </si>
  <si>
    <t>1. Add Product A (470 ILS) to cart
2. Add Product B (770 ILS) to cart 3.Add 16% commission to each product
3. Open cart and check total</t>
  </si>
  <si>
    <t>Cart total =1315ILS.</t>
  </si>
  <si>
    <t>User is logged in with items in cart</t>
  </si>
  <si>
    <t>1. Add a product to cart
2. Log out
3. Log back in with same account
4. Open the cart</t>
  </si>
  <si>
    <t>Attempt to add out-of-stock product to cart</t>
  </si>
  <si>
    <t>An out-of-stock product is available in the listing</t>
  </si>
  <si>
    <t>1. Locate a product marked 'Out of Stock'
2. Click 'Add to Cart'</t>
  </si>
  <si>
    <t>'Add to Cart' button is disabled, or a message 'Out of Stock' is displayed.</t>
  </si>
  <si>
    <t>Proceed to checkout from cart</t>
  </si>
  <si>
    <t>Cart has at least one product; user is logged in</t>
  </si>
  <si>
    <t>1. Open the cart
2. Click 'Checkout' or 'Proceed to Checkout'</t>
  </si>
  <si>
    <t>User is taken to the checkout page. Order summary with correct items and prices is shown.</t>
  </si>
  <si>
    <t>Enter shipping information successfully</t>
  </si>
  <si>
    <t>User is on the checkout page</t>
  </si>
  <si>
    <t>Name: Test User | Address: Gaza, Palestine | Phone: 0599000000</t>
  </si>
  <si>
    <t>1. Fill in the shipping form: Name, Address, City, Phone
2. Click 'Next' or 'Continue'</t>
  </si>
  <si>
    <t>Shipping info is saved. User proceeds to the payment step.</t>
  </si>
  <si>
    <t>Select a payment method</t>
  </si>
  <si>
    <t>User is on the payment step of checkout</t>
  </si>
  <si>
    <t>Payment method: Credit Card</t>
  </si>
  <si>
    <t>1. On the payment step, select 'Credit Card'
2. Click 'Continue'</t>
  </si>
  <si>
    <t>Credit card input form is displayed. User can enter card details.</t>
  </si>
  <si>
    <t>All checkout steps filled; user is logged in</t>
  </si>
  <si>
    <t>Valid shipping info and payment details</t>
  </si>
  <si>
    <t>1. Complete all checkout steps
2. Review order summary
3. Click 'Place Order'</t>
  </si>
  <si>
    <t>Order confirmed. Order number is displayed. Confirmation email is sent.</t>
  </si>
  <si>
    <t>Pressing the "Add To Cart" button more than once.</t>
  </si>
  <si>
    <t xml:space="preserve"> user is on the pricing and details page.</t>
  </si>
  <si>
    <t xml:space="preserve">1. Open the selected product page.
2. Click the "Add to Cart" button more than once                                            3. Open the Cart page.
4. Verify the product quantity and entries                                               </t>
  </si>
  <si>
    <t>The product is added to the cart only once,
   regardless of how many times the
   "Add to Cart" button is clicked.</t>
  </si>
  <si>
    <t>Clicking "Add to Cart" 3 times added the product
3 separate times</t>
  </si>
  <si>
    <t>Failed</t>
  </si>
  <si>
    <t>Cancel checkout before placing order</t>
  </si>
  <si>
    <t>User has started the checkout process</t>
  </si>
  <si>
    <t>1. Start the checkout process
2. Click 'Cancel' or navigate back before placing order</t>
  </si>
  <si>
    <t>User is logged in; at least one order was placed previously</t>
  </si>
  <si>
    <t>1. Log in
2. Go to 'My Account'
3. Click 'Orders' or 'Order History'</t>
  </si>
  <si>
    <t>A list of all previous orders is shown with date, status, and total.</t>
  </si>
  <si>
    <t>Edit profile information</t>
  </si>
  <si>
    <t>User is logged in</t>
  </si>
  <si>
    <t>New name: Mohammed H. | New phone: 0599111222</t>
  </si>
  <si>
    <t>1. Go to 'My Account' &gt; 'Settings'
2. Update name and phone number
3. Click 'Save'</t>
  </si>
  <si>
    <t>Profile is updated successfully. A success message is displayed.</t>
  </si>
  <si>
    <t>Tester has access to a mobile device or browser dev tools</t>
  </si>
  <si>
    <t>Device: iPhone 12 / Samsung Galaxy A52</t>
  </si>
  <si>
    <t>1. Open https://estore.jawwal.ps/ on a mobile device
2. Navigate through homepage, product listing, and cart
3. Test buttons and links</t>
  </si>
  <si>
    <t>Defects Status</t>
  </si>
  <si>
    <t>Critical Defects</t>
  </si>
  <si>
    <t>High Defects</t>
  </si>
  <si>
    <t>Medium Defects</t>
  </si>
  <si>
    <t>Low Defects</t>
  </si>
  <si>
    <t>Total Defects</t>
  </si>
  <si>
    <t>Bug ID</t>
  </si>
  <si>
    <t>Bug Title</t>
  </si>
  <si>
    <t>Description</t>
  </si>
  <si>
    <t>Status</t>
  </si>
  <si>
    <t>Defect Severity</t>
  </si>
  <si>
    <t>Comments</t>
  </si>
  <si>
    <t>TC ID</t>
  </si>
  <si>
    <t>Hot Fix?</t>
  </si>
  <si>
    <t>BUG-001</t>
  </si>
  <si>
    <t>Search button does not respond on mobile</t>
  </si>
  <si>
    <t>After typing a keyword in the search bar on iOS Safari, tapping the Search button produces no response. No results are displayed and no error message appears.</t>
  </si>
  <si>
    <t>Active</t>
  </si>
  <si>
    <t>2026-06-30</t>
  </si>
  <si>
    <t>Affects all iOS Safari users. Keyboard Enter workaround works on some devices.</t>
  </si>
  <si>
    <t>No response after tapping Search button on iOS Safari.</t>
  </si>
  <si>
    <t>Search results page loads with matching products.</t>
  </si>
  <si>
    <t>—</t>
  </si>
  <si>
    <t>TC-020</t>
  </si>
  <si>
    <t>Cart total does not recalculate when quantity is updated</t>
  </si>
  <si>
    <t>After changing the quantity of a product in the cart from 1 to 2 or more and clicking Update, the cart total does not change to reflect the new quantity.</t>
  </si>
  <si>
    <t>Critical financial bug. Users will be undercharged or overcharged at checkout.</t>
  </si>
  <si>
    <t>Cart total remains at original single-unit price after quantity update.</t>
  </si>
  <si>
    <t>Cart total = unit price × quantity.</t>
  </si>
  <si>
    <t>🔥 HOT FIX</t>
  </si>
  <si>
    <t>BUG-003</t>
  </si>
  <si>
    <t>TC-003</t>
  </si>
  <si>
    <t>No error message shown after login with wrong password</t>
  </si>
  <si>
    <t>When a user submits the login form with a valid email but incorrect password, the form reloads without displaying any error message. The user receives no feedback.</t>
  </si>
  <si>
    <t>Poor UX. Users unable to understand why login failed.</t>
  </si>
  <si>
    <t>Page reloads silently with empty fields. No error feedback.</t>
  </si>
  <si>
    <t>Error message: 'Invalid email or password. Please try again.'</t>
  </si>
  <si>
    <t>BUG-004</t>
  </si>
  <si>
    <t>Brand filter shows products from other brands</t>
  </si>
  <si>
    <t>After selecting 'Samsung' from the brand filter and clicking Apply, the results include products from Apple and OPPO as well. Filter logic is not correctly applied.</t>
  </si>
  <si>
    <t>Core filtering feature broken. Users cannot browse by brand.</t>
  </si>
  <si>
    <t>Results include Apple and OPPO products after Samsung filter is applied.</t>
  </si>
  <si>
    <t>Only Samsung products are displayed.</t>
  </si>
  <si>
    <t>Checkout button unresponsive when cart has multiple items</t>
  </si>
  <si>
    <t>When the cart contains 3 or more distinct products, clicking the 'Proceed to Checkout' button does not navigate to the checkout page. The button appears clickable but performs no action.</t>
  </si>
  <si>
    <t>Reproduced with 3+ different products. Works fine with 1–2 products.</t>
  </si>
  <si>
    <t>Nothing happens when clicking Checkout with 3+ products in cart.</t>
  </si>
  <si>
    <t>User is navigated to the checkout page.</t>
  </si>
  <si>
    <t>BUG-006</t>
  </si>
  <si>
    <t>TC-016</t>
  </si>
  <si>
    <t>Product images take more than 8 seconds to load on mobile</t>
  </si>
  <si>
    <t>On mobile devices connected via 4G, product images on the details page take 8–12 seconds to load. A blank grey box is displayed during the wait.</t>
  </si>
  <si>
    <t>Deferred</t>
  </si>
  <si>
    <t>Performance issue. No immediate functional impact but poor user experience.</t>
  </si>
  <si>
    <t>Product images show blank area for 8–12 seconds before loading.</t>
  </si>
  <si>
    <t>Product images load within 3 seconds.</t>
  </si>
  <si>
    <t>BUG-007</t>
  </si>
  <si>
    <t>TC-001</t>
  </si>
  <si>
    <t>Registration form does not validate email format</t>
  </si>
  <si>
    <t>When registering with an invalid email format (e.g. 'testmail' or 'test@'), the form is submitted without displaying any validation error.</t>
  </si>
  <si>
    <t>Invalid accounts can be created, causing issues with email communication.</t>
  </si>
  <si>
    <t>Form submits with invalid email format without any validation error.</t>
  </si>
  <si>
    <t>Validation error shown: 'Please enter a valid email address.'</t>
  </si>
  <si>
    <t>BUG-008</t>
  </si>
  <si>
    <t>TC-005</t>
  </si>
  <si>
    <t>Password reset email is not received after request</t>
  </si>
  <si>
    <t>After clicking 'Forgot Password' and entering a valid registered email, the user sees a success message, but no reset email arrives in the inbox or spam folder.</t>
  </si>
  <si>
    <t>Tested with Gmail and Outlook. Waited 15+ minutes. No email received.</t>
  </si>
  <si>
    <t>No reset email received despite success confirmation message.</t>
  </si>
  <si>
    <t>Password reset email is delivered within 2 minutes.</t>
  </si>
  <si>
    <t>BUG-009</t>
  </si>
  <si>
    <t>TC-021</t>
  </si>
  <si>
    <t>Cart is empty after logging back in</t>
  </si>
  <si>
    <t>When a logged-in user adds products to the cart, then logs out and logs back in, the cart is found to be completely empty.</t>
  </si>
  <si>
    <t>Cart is not persisted server-side. Products are lost on logout.</t>
  </si>
  <si>
    <t>Cart is empty upon re-login even though items were added before logout.</t>
  </si>
  <si>
    <t>Cart contents are preserved and visible after re-login.</t>
  </si>
  <si>
    <t>BUG-010</t>
  </si>
  <si>
    <t>TC-022</t>
  </si>
  <si>
    <t>Out-of-stock product can still be added to cart</t>
  </si>
  <si>
    <t>Products displayed with an 'Out of Stock' badge on the listing page still have an active 'Add to Cart' button. Clicking it adds the product to the cart.</t>
  </si>
  <si>
    <t>Leads to failed orders. Inventory management issue.</t>
  </si>
  <si>
    <t>Out-of-stock product is added to cart and appears in checkout.</t>
  </si>
  <si>
    <t>'Add to Cart' button is disabled for out-of-stock products.</t>
  </si>
  <si>
    <t>BUG-011</t>
  </si>
  <si>
    <t>TC-013</t>
  </si>
  <si>
    <t>Clear Filters button does not reset the product listing</t>
  </si>
  <si>
    <t>After applying multiple filters (Brand + Price), clicking the 'Clear Filters' button removes the filter tags visually but the product listing does not refresh and continues showing filtered results.</t>
  </si>
  <si>
    <t>Page refresh restores the full listing as a workaround.</t>
  </si>
  <si>
    <t>Filters appear cleared but product listing still shows filtered results.</t>
  </si>
  <si>
    <t>Full product listing is restored after clicking Clear Filters.</t>
  </si>
  <si>
    <t>BUG-012</t>
  </si>
  <si>
    <t>TC-015</t>
  </si>
  <si>
    <t>Wishlist icon does not update state after adding product</t>
  </si>
  <si>
    <t>After clicking 'Add to Wishlist' on a product details page, the icon remains in its default (unfilled) state. The product is saved internally, but no visual confirmation is shown.</t>
  </si>
  <si>
    <t>Product is actually saved to wishlist — only UI feedback is missing.</t>
  </si>
  <si>
    <t>Wishlist icon remains in default state after product is added.</t>
  </si>
  <si>
    <t>Wishlist icon changes to filled/highlighted state after adding product.</t>
  </si>
  <si>
    <t>BUG-013</t>
  </si>
  <si>
    <t>TC-012</t>
  </si>
  <si>
    <t>Price filter accepts invalid range (max less than min)</t>
  </si>
  <si>
    <t>The price filter allows setting a range where max value is lower than min value (e.g. min: 500, max: 100) without any validation error. Applying it returns an empty or incorrect result set.</t>
  </si>
  <si>
    <t>No input validation on the price range filter fields.</t>
  </si>
  <si>
    <t>Filter accepts invalid range (min &gt; max) with no error and returns wrong results.</t>
  </si>
  <si>
    <t>Validation error shown when max price is less than min price.</t>
  </si>
  <si>
    <t>BUG-014</t>
  </si>
  <si>
    <t>Order history displays incorrect order dates</t>
  </si>
  <si>
    <t>In the Order History section, all orders show today's date as the order date, regardless of when they were actually placed.</t>
  </si>
  <si>
    <t>Confirmed with orders placed on multiple different dates.</t>
  </si>
  <si>
    <t>All orders in history show today's date instead of the actual purchase date.</t>
  </si>
  <si>
    <t>Each order displays its correct original purchase date.</t>
  </si>
  <si>
    <t>Horizontal scroll appears on mobile screen</t>
  </si>
  <si>
    <t>When viewing the website on a mobile device (portrait mode, screen width 390px), the homepage and product listing pages produce a horizontal scrollbar due to overflowing content.</t>
  </si>
  <si>
    <t>Reproduced on iPhone 12 (Safari) and Samsung A52 (Chrome Android).</t>
  </si>
  <si>
    <t>Horizontal scrollbar appears on mobile. Content overflows screen width.</t>
  </si>
  <si>
    <t>No horizontal scrollbar. All content fits within viewport width.</t>
  </si>
  <si>
    <t>BUG-016</t>
  </si>
  <si>
    <t>TC-027</t>
  </si>
  <si>
    <t>Add to Cart button adds product multiple times on repeated clicks</t>
  </si>
  <si>
    <t>Clicking 'Add to Cart' button more than once on the same product page adds the product as separate entries in the cart each time. The button does not become disabled or redirect after the first click.</t>
  </si>
  <si>
    <t>2026-07-04</t>
  </si>
  <si>
    <t>Users may accidentally order multiple units without realizing. Financial and UX impact.</t>
  </si>
  <si>
    <t>Clicking Add to Cart 3 times adds 3 separate entries. Cart shows Qty = 3 instead of 1.</t>
  </si>
  <si>
    <t>Product added once on first click. Button disables or changes to 'Go to Cart' after click. Cart shows Qty = 1. Quantity increase only via counter inside Cart.</t>
  </si>
  <si>
    <t>QA Priority &amp; Severity Reference — Jawwal eStore</t>
  </si>
  <si>
    <t>TEST CASE PRIORITY</t>
  </si>
  <si>
    <t>Meaning</t>
  </si>
  <si>
    <t>When to Use</t>
  </si>
  <si>
    <t>Example (Jawwal)</t>
  </si>
  <si>
    <t>Fix Timeline</t>
  </si>
  <si>
    <t>Must be tested first — blocks entire release</t>
  </si>
  <si>
    <t>Core user journeys (login, checkout, cart)</t>
  </si>
  <si>
    <t>TC-002 Login, TC-017 Add to Cart, TC-026 Place Order</t>
  </si>
  <si>
    <t>Block release if failed</t>
  </si>
  <si>
    <t>Very important — must work for good UX</t>
  </si>
  <si>
    <t>Key features that users rely on daily</t>
  </si>
  <si>
    <t>TC-007 Search, TC-011 Filter, TC-028 Order History</t>
  </si>
  <si>
    <t>Fix before release</t>
  </si>
  <si>
    <t>Important but has workarounds</t>
  </si>
  <si>
    <t>Supporting features, edge cases</t>
  </si>
  <si>
    <t>TC-013 Clear Filters, TC-029 Edit Profile</t>
  </si>
  <si>
    <t>Fix in next sprint</t>
  </si>
  <si>
    <t>Nice to have — minimal user impact</t>
  </si>
  <si>
    <t>Cosmetic, minor edge cases</t>
  </si>
  <si>
    <t>TC-009 Special character search</t>
  </si>
  <si>
    <t>Fix when time allows</t>
  </si>
  <si>
    <t>BUG SEVERITY</t>
  </si>
  <si>
    <t>System broken — major feature completely fails</t>
  </si>
  <si>
    <t>Checkout broken, login impossible, payment error</t>
  </si>
  <si>
    <t>BUG-002 Cart total wrong, BUG-005 Checkout blocked</t>
  </si>
  <si>
    <t>Fix within 24 hours</t>
  </si>
  <si>
    <t>Important feature fails — workaround needed</t>
  </si>
  <si>
    <t>Search broken, filter wrong, password reset fails</t>
  </si>
  <si>
    <t>BUG-001 Search mobile, BUG-004 Filter shows wrong brands</t>
  </si>
  <si>
    <t>Fix within 3–5 days</t>
  </si>
  <si>
    <t>Feature works but has noticeable errors</t>
  </si>
  <si>
    <t>Slow loading, filter edge case, wrong dates in orders</t>
  </si>
  <si>
    <t>BUG-006 Images slow, BUG-014 Order dates wrong</t>
  </si>
  <si>
    <t>Minor visual or text issue, no real impact</t>
  </si>
  <si>
    <t>Typo, icon color, minor alignment</t>
  </si>
  <si>
    <t>BUG-012 Wishlist icon not updating visually</t>
  </si>
  <si>
    <t>🔥 HOT FIX — What Is It and Where Does It Go?</t>
  </si>
  <si>
    <t>What is a Hot Fix?</t>
  </si>
  <si>
    <t>An emergency fix released immediately outside the normal sprint or release cycle. Used when a Critical bug blocks users from completing key actions (login, checkout, payment).</t>
  </si>
  <si>
    <t>When to use it?</t>
  </si>
  <si>
    <t>Severity = Critical AND the bug impacts revenue, security, or makes the app unusable for most users. Example: BUG-002 (cart total wrong) and BUG-005 (checkout blocked).</t>
  </si>
  <si>
    <t>Where does it go in Jira?</t>
  </si>
  <si>
    <t>In Jira: add the label 'hot-fix' to the issue. Set Priority = Critical. Set Fix Version = 'Hotfix-1.x'. Notify the dev team immediately via Slack/email.</t>
  </si>
  <si>
    <t>Where in our Excel?</t>
  </si>
  <si>
    <t>In the Bugs sheet → column N (Hot Fix?) = '🔥 HOT FIX'. This flags it for the developer and PM to act on immediately.</t>
  </si>
  <si>
    <t>Hot Fix workflow:</t>
  </si>
  <si>
    <t>QA finds Critical bug → writes Defect Report → marks Hot Fix → Dev fixes within 24h → QA re-tests → marks Resolved → Closed.</t>
  </si>
  <si>
    <t>Sheet No.</t>
  </si>
  <si>
    <t>Suite Name</t>
  </si>
  <si>
    <t>Total Test Cases</t>
  </si>
  <si>
    <t>✅ Positive</t>
  </si>
  <si>
    <t>❌ Negative</t>
  </si>
  <si>
    <t>TS-001</t>
  </si>
  <si>
    <t>🔐 Authentication Suite</t>
  </si>
  <si>
    <t>TS-002</t>
  </si>
  <si>
    <t>🔍 Search &amp; Filter Suite</t>
  </si>
  <si>
    <t>TS-003</t>
  </si>
  <si>
    <t>📦 Product Details Suite</t>
  </si>
  <si>
    <t>TS-004</t>
  </si>
  <si>
    <t>🛒 Shopping Cart Suite</t>
  </si>
  <si>
    <t>TS-005</t>
  </si>
  <si>
    <t>💳 Checkout Suite</t>
  </si>
  <si>
    <t>TS-006</t>
  </si>
  <si>
    <t>👤 Account Management Suite</t>
  </si>
  <si>
    <t>TS-007</t>
  </si>
  <si>
    <t>📱 UI &amp; Compatibility Suite</t>
  </si>
  <si>
    <t>Total</t>
  </si>
  <si>
    <t>Type</t>
  </si>
  <si>
    <t>Test Scenario (Title)</t>
  </si>
  <si>
    <t>Preconditions</t>
  </si>
  <si>
    <t>TC-001-01</t>
  </si>
  <si>
    <t>Positive</t>
  </si>
  <si>
    <t>User has an active account on the website</t>
  </si>
  <si>
    <t>1. Go to https://estore.jawwal.ps/customer/login
2. Enter a valid registered email
3. Enter the correct password
4. Click the Login button</t>
  </si>
  <si>
    <t>Email: valid@example.com
Password: Valid@123</t>
  </si>
  <si>
    <t>User logs in successfully and is redirected to the home page / customer account page</t>
  </si>
  <si>
    <t>TC-001-02</t>
  </si>
  <si>
    <t>Register a new account with valid, complete data</t>
  </si>
  <si>
    <t>User is on the registration page</t>
  </si>
  <si>
    <t>1. Go to /customer/register
2. Fill in all required fields with valid data
3. Click the Register button</t>
  </si>
  <si>
    <t>New unused email + strong password matching confirmation</t>
  </si>
  <si>
    <t>Account is created successfully and a confirmation is shown / user is auto logged in</t>
  </si>
  <si>
    <t>TC-001-03</t>
  </si>
  <si>
    <t>Recover password with a registered email</t>
  </si>
  <si>
    <t>A registered account with a known email exists</t>
  </si>
  <si>
    <t>1. Click 'Forgot Password?'
2. Enter the registered email address
3. Submit the request</t>
  </si>
  <si>
    <t>Email: registered@example.com</t>
  </si>
  <si>
    <t>A message confirms that a password reset link/code has been sent to the email</t>
  </si>
  <si>
    <t>TC-001-04</t>
  </si>
  <si>
    <t>Show/Hide password via the eye icon</t>
  </si>
  <si>
    <t>1. Type a password in the field
2. Click the show/hide (eye) icon</t>
  </si>
  <si>
    <t>Password: Test@123</t>
  </si>
  <si>
    <t>The password text toggles correctly between shown and hidden</t>
  </si>
  <si>
    <t>TC-001-05</t>
  </si>
  <si>
    <t>Logout after a successful login</t>
  </si>
  <si>
    <t>User is currently logged in</t>
  </si>
  <si>
    <t>1. Click the Logout button/link</t>
  </si>
  <si>
    <t>An account that is already logged in</t>
  </si>
  <si>
    <t>User is logged out and returned to the login page or home page as a guest</t>
  </si>
  <si>
    <t>TC-001-06</t>
  </si>
  <si>
    <t>Negative</t>
  </si>
  <si>
    <t>Login with an unregistered email</t>
  </si>
  <si>
    <t>No account exists with this email</t>
  </si>
  <si>
    <t>1. Enter an email that does not exist in the system
2. Enter any password
3. Click Login</t>
  </si>
  <si>
    <t>Email: notexist@example.com
Password: 123456</t>
  </si>
  <si>
    <t>A clear error message is shown (invalid credentials) and login is not allowed</t>
  </si>
  <si>
    <t>TC-001-07</t>
  </si>
  <si>
    <t>Login with a wrong password</t>
  </si>
  <si>
    <t>Account exists with a valid email</t>
  </si>
  <si>
    <t>1. Enter a valid, registered email
2. Enter an incorrect password
3. Click Login</t>
  </si>
  <si>
    <t>Email: valid@example.com
Password: WrongPass1</t>
  </si>
  <si>
    <t>An error message is shown (incorrect password) and login is denied</t>
  </si>
  <si>
    <t>TC-001-08</t>
  </si>
  <si>
    <t>1. Leave the email and password fields empty
2. Click the Login button</t>
  </si>
  <si>
    <t>Email: (empty)
Password: (empty)</t>
  </si>
  <si>
    <t>Validation messages appear preventing submission without calling the server</t>
  </si>
  <si>
    <t>TC-001-09</t>
  </si>
  <si>
    <t>Login with an invalid email format</t>
  </si>
  <si>
    <t>1. Enter an email with an invalid format (missing @ or domain)
2. Enter a password
3. Click Login</t>
  </si>
  <si>
    <t>Email: user_at_example.com
Password: Test@123</t>
  </si>
  <si>
    <t>An instant validation message appears about the invalid email format</t>
  </si>
  <si>
    <t>TC-001-10</t>
  </si>
  <si>
    <t>Register with an already used email</t>
  </si>
  <si>
    <t>An account already exists with the same email</t>
  </si>
  <si>
    <t>1. Go to the registration page
2. Enter an email already used by another account
3. Fill the rest of the fields and submit</t>
  </si>
  <si>
    <t>Email: registered@example.com (already used)</t>
  </si>
  <si>
    <t>Error message 'Email already in use' is shown and no duplicate account is created</t>
  </si>
  <si>
    <t>TC-001-11</t>
  </si>
  <si>
    <t>Register with a weak/short password</t>
  </si>
  <si>
    <t>1. Fill in the fields with a new valid email
2. Enter a very short/weak password (e.g. 123)
3. Click Register</t>
  </si>
  <si>
    <t>Password: 123</t>
  </si>
  <si>
    <t>A validation message appears stating the password does not meet minimum requirements</t>
  </si>
  <si>
    <t>TC-001-12</t>
  </si>
  <si>
    <t>Repeated failed login attempts (Brute Force)</t>
  </si>
  <si>
    <t>An existing active account</t>
  </si>
  <si>
    <t>1. Enter a valid email with a wrong password multiple times in a row (5+ attempts)</t>
  </si>
  <si>
    <t>Email: valid@example.com
Password: Wrong1..Wrong5</t>
  </si>
  <si>
    <t>Account is temporarily locked or a Captcha/security alert appears after a defined number of failed attempts</t>
  </si>
  <si>
    <t>TC-001-13</t>
  </si>
  <si>
    <t>Recover password with an unregistered email</t>
  </si>
  <si>
    <t>1. Click 'Forgot Password?'
2. Enter an email not registered in the system
3. Submit the request</t>
  </si>
  <si>
    <t>Email: unknown@example.com</t>
  </si>
  <si>
    <t>A generic, appropriate message is shown without revealing whether the account exists (privacy protection)</t>
  </si>
  <si>
    <t>🔍  TS-002  |  Search &amp; Filter Suite  —  Jawwal e-Store (https://estore.jawwal.ps)</t>
  </si>
  <si>
    <t>TC-002-01</t>
  </si>
  <si>
    <t>Search for an existing product by valid name</t>
  </si>
  <si>
    <t>Website has published products</t>
  </si>
  <si>
    <t>1. Click the search icon
2. Type an existing product name such as 'iPhone'
3. Execute the search</t>
  </si>
  <si>
    <t>Search term: iPhone</t>
  </si>
  <si>
    <t>Search results display products matching the name 'iPhone'</t>
  </si>
  <si>
    <t>TC-002-02</t>
  </si>
  <si>
    <t>Filter by brand</t>
  </si>
  <si>
    <t>User is on a page with brand filters (Apple, Samsung, Xiaomi...)</t>
  </si>
  <si>
    <t>1. Open a brand page such as /brands/samsung
2. Verify only that brand's products are displayed</t>
  </si>
  <si>
    <t>Brand: Samsung</t>
  </si>
  <si>
    <t>Only products belonging to the Samsung brand are displayed</t>
  </si>
  <si>
    <t>TC-002-03</t>
  </si>
  <si>
    <t>Filter by a valid price range</t>
  </si>
  <si>
    <t>Product page has a price filter</t>
  </si>
  <si>
    <t>1. Open the price filter
2. Select a logical price range (e.g. 100 - 500 ILS)
3. Apply the filter</t>
  </si>
  <si>
    <t>Price range: 100 - 500 ILS</t>
  </si>
  <si>
    <t>Only products whose prices fall within the selected range are displayed</t>
  </si>
  <si>
    <t>TC-002-04</t>
  </si>
  <si>
    <t>Sort results by price (Low to High)</t>
  </si>
  <si>
    <t>Result page contains multiple products</t>
  </si>
  <si>
    <t>1. Select the sort option 'Price: Low to High'</t>
  </si>
  <si>
    <t>Sort by: Price Low-High</t>
  </si>
  <si>
    <t>Products are sorted in ascending order by price correctly</t>
  </si>
  <si>
    <t>TC-002-05</t>
  </si>
  <si>
    <t>Use the Compare page</t>
  </si>
  <si>
    <t>More than one comparable product exists</t>
  </si>
  <si>
    <t>1. Add two or more products to /compare
2. Open the compare page</t>
  </si>
  <si>
    <t>Two products from the same category</t>
  </si>
  <si>
    <t>Compare page displays product specifications side by side clearly and correctly</t>
  </si>
  <si>
    <t>TC-002-06</t>
  </si>
  <si>
    <t>Website operates normally</t>
  </si>
  <si>
    <t>1. Type a product name that does not exist in the Jawwal store
2. Execute the search</t>
  </si>
  <si>
    <t>Search term: xyzNotExistProduct999</t>
  </si>
  <si>
    <t>A clear message 'No matching results' is displayed with no page error</t>
  </si>
  <si>
    <t>TC-002-07</t>
  </si>
  <si>
    <t>Execute a search with an empty field</t>
  </si>
  <si>
    <t>User is in the search box</t>
  </si>
  <si>
    <t>1. Do not type any text in the search box
2. Click the search button/Enter</t>
  </si>
  <si>
    <t>Search term: (empty)</t>
  </si>
  <si>
    <t>No actual search is executed, or a prompt appears asking to enter a search term</t>
  </si>
  <si>
    <t>TC-002-08</t>
  </si>
  <si>
    <t>Search with an SQL injection attempt / special characters</t>
  </si>
  <si>
    <t>1. Enter text containing an injection attempt such as: ' OR 1=1 --
2. Execute the search</t>
  </si>
  <si>
    <t>Search term: ' OR 1=1 --</t>
  </si>
  <si>
    <t>No security issue or system break occurs; an empty result or a safe message is shown (no exposed database errors)</t>
  </si>
  <si>
    <t>TC-002-09</t>
  </si>
  <si>
    <t>Apply a price filter where min value is greater than max</t>
  </si>
  <si>
    <t>1. Enter a minimum price greater than the maximum (e.g. from 1000 to 100)
2. Apply the filter</t>
  </si>
  <si>
    <t>Min: 1000 / Max: 100</t>
  </si>
  <si>
    <t>An error/warning about the invalid range appears, or the illogical filter is ignored without breaking the page</t>
  </si>
  <si>
    <t>TC-002-10</t>
  </si>
  <si>
    <t>Search with a very long text / emoji characters</t>
  </si>
  <si>
    <t>1. Enter a very long text (500+ characters) or unusual symbols/emoji
2. Execute the search</t>
  </si>
  <si>
    <t>Search term: very long repeated text (500 chars) 😀😀😀</t>
  </si>
  <si>
    <t>The page handles the input without crashing or unexpected errors, and shows an appropriate (empty or truncated) result</t>
  </si>
  <si>
    <t>📦  TS-003  |  Product Details Suite  —  Jawwal e-Store (https://estore.jawwal.ps)</t>
  </si>
  <si>
    <t>TC-003-01</t>
  </si>
  <si>
    <t>Display full product details</t>
  </si>
  <si>
    <t>An active, published product exists</t>
  </si>
  <si>
    <t>1. Open an existing product page from search results or a brand page
2. Review image, name, price, description, specifications</t>
  </si>
  <si>
    <t>Active product, e.g. Apple iPhone</t>
  </si>
  <si>
    <t>All product details (image, name, price, description, specs) display correctly and completely</t>
  </si>
  <si>
    <t>TC-003-02</t>
  </si>
  <si>
    <t>Product image gallery and zoom</t>
  </si>
  <si>
    <t>Product page has more than one image</t>
  </si>
  <si>
    <t>1. Click the product thumbnail
2. Zoom / switch through images in the gallery</t>
  </si>
  <si>
    <t>Product with multiple images</t>
  </si>
  <si>
    <t>Image zoom and navigation between images works smoothly without distortion or noticeable lag</t>
  </si>
  <si>
    <t>TC-003-03</t>
  </si>
  <si>
    <t>Select an available option (color / storage)</t>
  </si>
  <si>
    <t>Product has more than one variant</t>
  </si>
  <si>
    <t>1. Open a product page with color/storage options
2. Select a different available option</t>
  </si>
  <si>
    <t>Example: Color Blue / Storage 128GB</t>
  </si>
  <si>
    <t>Price and/or displayed image updates instantly and correctly according to the selected option</t>
  </si>
  <si>
    <t>TC-003-04</t>
  </si>
  <si>
    <t>Display product availability status (In Stock)</t>
  </si>
  <si>
    <t>Product is within available stock</t>
  </si>
  <si>
    <t>1. Open a product page with available stock</t>
  </si>
  <si>
    <t>Product status: 'In Stock'</t>
  </si>
  <si>
    <t>'In Stock' status is clearly displayed and the Add to Cart button is enabled</t>
  </si>
  <si>
    <t>TC-003-05</t>
  </si>
  <si>
    <t>Add a product to Wishlist</t>
  </si>
  <si>
    <t>Wishlist feature is available on product page</t>
  </si>
  <si>
    <t>1. Click the Add to Wishlist icon/button on the product page</t>
  </si>
  <si>
    <t>Active product + logged-in user (if required)</t>
  </si>
  <si>
    <t>Product is added successfully to the user's wishlist</t>
  </si>
  <si>
    <t>TC-003-06</t>
  </si>
  <si>
    <t>Open a non-existing product link (invalid ID)</t>
  </si>
  <si>
    <t>No product exists with this identifier</t>
  </si>
  <si>
    <t>1. Manually edit a product URL with an invalid/non-existing ID
2. Open the link</t>
  </si>
  <si>
    <t>Product URL: /product/999999999</t>
  </si>
  <si>
    <t>A 404 error page or a clear 'Product not found' message is shown without breaking the site</t>
  </si>
  <si>
    <t>TC-003-07</t>
  </si>
  <si>
    <t>Select an out-of-stock variant</t>
  </si>
  <si>
    <t>Product has a variant that is out of stock</t>
  </si>
  <si>
    <t>1. Open a product with an option (e.g. color/storage) that is out of stock
2. Try to select that option</t>
  </si>
  <si>
    <t>Option: Color Red (out of stock)</t>
  </si>
  <si>
    <t>The option appears disabled or a 'Currently unavailable' message is shown, and it cannot be added to the cart</t>
  </si>
  <si>
    <t>TC-003-08</t>
  </si>
  <si>
    <t>Add a quantity larger than available stock</t>
  </si>
  <si>
    <t>Product with limited, known stock quantity</t>
  </si>
  <si>
    <t>1. Open a product with limited stock (e.g. 3 units left)
2. Enter a quantity larger than available (e.g. 10) and click Add to Cart</t>
  </si>
  <si>
    <t>Available stock: 3
Requested qty: 10</t>
  </si>
  <si>
    <t>A warning message about insufficient stock appears and the full requested quantity is not added</t>
  </si>
  <si>
    <t>TC-003-09</t>
  </si>
  <si>
    <t>Product image fails to load</t>
  </si>
  <si>
    <t>Weak internet connection or broken image link</t>
  </si>
  <si>
    <t>1. Simulate a failed product image load (slow network / broken image link)
2. Load the product page</t>
  </si>
  <si>
    <t>Slow network / Throttled 3G</t>
  </si>
  <si>
    <t>A placeholder image is shown instead of breaking the page layout; the rest of the page remains intact</t>
  </si>
  <si>
    <t>🛒  TS-004  |  Shopping Cart Suite  —  Jawwal e-Store (https://estore.jawwal.ps)</t>
  </si>
  <si>
    <t>TC-004-01</t>
  </si>
  <si>
    <t>Add an available product to the cart</t>
  </si>
  <si>
    <t>Product is available in stock</t>
  </si>
  <si>
    <t>1. Open an available product page
2. Click 'Add to Cart'</t>
  </si>
  <si>
    <t>Available product, quantity: 1</t>
  </si>
  <si>
    <t>Product is added to the cart successfully with correct price and quantity, and the cart icon updates</t>
  </si>
  <si>
    <t>TC-004-02</t>
  </si>
  <si>
    <t>Edit the quantity of a product in the cart</t>
  </si>
  <si>
    <t>A product already exists in the cart</t>
  </si>
  <si>
    <t>1. Open the cart page
2. Increase/decrease the quantity using the +/- buttons</t>
  </si>
  <si>
    <t>Initial quantity: 1 → New: 3</t>
  </si>
  <si>
    <t>Product quantity and total price update immediately and correctly for both the item and the cart</t>
  </si>
  <si>
    <t>TC-004-03</t>
  </si>
  <si>
    <t>More than one product exists in the cart</t>
  </si>
  <si>
    <t>1. Open the cart page
2. Click the remove/delete button for one of the products</t>
  </si>
  <si>
    <t>A product within the cart</t>
  </si>
  <si>
    <t>The product disappears from the cart list and the grand total updates automatically</t>
  </si>
  <si>
    <t>TC-004-04</t>
  </si>
  <si>
    <t>Apply a valid, active discount code</t>
  </si>
  <si>
    <t>A valid and active discount code exists in the system</t>
  </si>
  <si>
    <t>1. Open the cart page
2. Enter the discount code in the designated field
3. Click Apply</t>
  </si>
  <si>
    <t>Coupon: VALID10</t>
  </si>
  <si>
    <t>The discount percentage/amount is applied correctly to the total, with a confirmation message</t>
  </si>
  <si>
    <t>TC-004-05</t>
  </si>
  <si>
    <t>View the cart when it is empty</t>
  </si>
  <si>
    <t>Cart is empty (no products added)</t>
  </si>
  <si>
    <t>1. Open the cart page without adding any products</t>
  </si>
  <si>
    <t>Empty cart</t>
  </si>
  <si>
    <t>A clear 'Your cart is empty' message is shown along with a shopping suggestion, instead of a blank page</t>
  </si>
  <si>
    <t>TC-004-06</t>
  </si>
  <si>
    <t>Add an out-of-stock product to the cart</t>
  </si>
  <si>
    <t>Product status is 'Out of Stock'</t>
  </si>
  <si>
    <t>1. Try to open a product that is out of stock
2. Try clicking 'Add to Cart'</t>
  </si>
  <si>
    <t>Stock: 0 (Out of stock)</t>
  </si>
  <si>
    <t>The Add to Cart button is disabled or a message prevents adding, and the product is not added to the cart</t>
  </si>
  <si>
    <t>TC-004-07</t>
  </si>
  <si>
    <t>Enter a negative or zero quantity in the quantity field</t>
  </si>
  <si>
    <t>A product exists in the cart</t>
  </si>
  <si>
    <t>1. Open the cart page
2. Manually change the quantity value to 0 or a negative number (-1)</t>
  </si>
  <si>
    <t>Quantity: 0 / -1</t>
  </si>
  <si>
    <t>The system automatically prevents these values and resets to the minimum allowed (1), or shows a validation message</t>
  </si>
  <si>
    <t>TC-004-08</t>
  </si>
  <si>
    <t>Apply an invalid or expired discount code</t>
  </si>
  <si>
    <t>No such code exists, or it has expired</t>
  </si>
  <si>
    <t>1. Open the cart page
2. Enter an invalid/expired discount code
3. Click Apply</t>
  </si>
  <si>
    <t>Coupon: EXPIRED99 / INVALIDCODE</t>
  </si>
  <si>
    <t>A clear error message 'Invalid code' is shown without applying any discount to the total</t>
  </si>
  <si>
    <t>TC-004-09</t>
  </si>
  <si>
    <t>Edit quantity to exceed available stock</t>
  </si>
  <si>
    <t>Product with limited stock quantity</t>
  </si>
  <si>
    <t>1. Open the cart for a product with limited stock (e.g. 2 units)
2. Change the quantity to a larger number (e.g. 15)</t>
  </si>
  <si>
    <t>Stock: 2 / Requested qty: 15</t>
  </si>
  <si>
    <t>A warning about insufficient stock appears, and the actual available limit is not exceeded</t>
  </si>
  <si>
    <t>TC-004-10</t>
  </si>
  <si>
    <t>Connection lost while updating the cart</t>
  </si>
  <si>
    <t>Unstable internet connection</t>
  </si>
  <si>
    <t>1. Start editing a quantity or removing a product from the cart
2. Disconnect the internet while the request is processing</t>
  </si>
  <si>
    <t>Network: Offline (simulated)</t>
  </si>
  <si>
    <t>A clear error message about the failed operation is shown without losing current cart data or duplicating the operation</t>
  </si>
  <si>
    <t>💳  TS-005  |  Checkout Suite  —  Jawwal e-Store (https://estore.jawwal.ps)</t>
  </si>
  <si>
    <t>TC-005-01</t>
  </si>
  <si>
    <t>Complete a purchase with valid shipping info and payment method</t>
  </si>
  <si>
    <t>Cart has products and an active account</t>
  </si>
  <si>
    <t>1. Go to the Checkout page
2. Fill in valid, complete shipping details
3. Select an available payment method
4. Confirm the order</t>
  </si>
  <si>
    <t>Valid shipping info + Payment method: Cash on Delivery</t>
  </si>
  <si>
    <t>The purchase completes successfully and an order confirmation page/message with a clear reference number is shown</t>
  </si>
  <si>
    <t>TC-005-02</t>
  </si>
  <si>
    <t>Select an alternative valid payment method</t>
  </si>
  <si>
    <t>More than one payment method is available</t>
  </si>
  <si>
    <t>1. On the checkout page, select a different payment method (credit card if available)
2. Complete the remaining payment steps</t>
  </si>
  <si>
    <t>Payment method: Valid credit card (test environment)</t>
  </si>
  <si>
    <t>The order is processed successfully via the selected payment method without errors</t>
  </si>
  <si>
    <t>TC-005-03</t>
  </si>
  <si>
    <t>Use a previously saved shipping address</t>
  </si>
  <si>
    <t>User has a saved address on the account</t>
  </si>
  <si>
    <t>1. On the checkout page, select a saved address from the list instead of entering new details</t>
  </si>
  <si>
    <t>Previously saved shipping address on the account</t>
  </si>
  <si>
    <t>Shipping details are auto-filled correctly from the saved address</t>
  </si>
  <si>
    <t>TC-005-04</t>
  </si>
  <si>
    <t>Receive order confirmation after purchase</t>
  </si>
  <si>
    <t>An order has been completed successfully</t>
  </si>
  <si>
    <t>1. Complete a full, successful purchase
2. Check the email/SMS for confirmation</t>
  </si>
  <si>
    <t>Email registered on the account</t>
  </si>
  <si>
    <t>A confirmation email/notification arrives with order details and order number within a reasonable time</t>
  </si>
  <si>
    <t>TC-005-05</t>
  </si>
  <si>
    <t>Display order summary before final confirmation</t>
  </si>
  <si>
    <t>Cart contains multiple products</t>
  </si>
  <si>
    <t>1. Reach the order review page before final payment
2. Review products, shipping, tax, and total</t>
  </si>
  <si>
    <t>Cart with 2-3 different products</t>
  </si>
  <si>
    <t>An accurate and clear summary is shown for every element (products, shipping, tax if applicable, grand total)</t>
  </si>
  <si>
    <t>TC-005-06</t>
  </si>
  <si>
    <t>Complete purchase with missing shipping fields</t>
  </si>
  <si>
    <t>Checkout page has required fields</t>
  </si>
  <si>
    <t>1. Go to the checkout page
2. Leave a required field empty (e.g. phone number or address)
3. Try to confirm the order</t>
  </si>
  <si>
    <t>Phone number: (empty)</t>
  </si>
  <si>
    <t>A validation message prevents order completion until all required fields are filled</t>
  </si>
  <si>
    <t>TC-005-07</t>
  </si>
  <si>
    <t>Enter a phone number in an invalid format</t>
  </si>
  <si>
    <t>Checkout page requires a phone number</t>
  </si>
  <si>
    <t>1. Enter a phone number in an invalid format (letters or wrong number of digits)
2. Try to complete the order</t>
  </si>
  <si>
    <t>Phone: abc123 / 05</t>
  </si>
  <si>
    <t>An instant validation error clarifies the correct required phone format</t>
  </si>
  <si>
    <t>TC-005-08</t>
  </si>
  <si>
    <t>Complete the order without selecting a payment method</t>
  </si>
  <si>
    <t>Checkout page shows more than one payment option</t>
  </si>
  <si>
    <t>1. Fill in shipping details correctly
2. Do not select any payment method
3. Try to confirm the order</t>
  </si>
  <si>
    <t>Payment method: (none selected)</t>
  </si>
  <si>
    <t>Order completion is blocked with a message clarifying that a payment method must be selected</t>
  </si>
  <si>
    <t>TC-005-09</t>
  </si>
  <si>
    <t>Payment fails (declined card)</t>
  </si>
  <si>
    <t>A test payment environment that simulates a declined transaction</t>
  </si>
  <si>
    <t>1. Select card payment
2. Use a card that gets declined (Sandbox environment)
3. Confirm the order</t>
  </si>
  <si>
    <t>Test decline card</t>
  </si>
  <si>
    <t>A clear error message about the failed payment is shown, and cart data is preserved for retry</t>
  </si>
  <si>
    <t>TC-005-10</t>
  </si>
  <si>
    <t>Go back during payment and retry (prevent duplicate order)</t>
  </si>
  <si>
    <t>A payment is in progress</t>
  </si>
  <si>
    <t>1. Start a payment process and wait during processing
2. Click the browser back button then resubmit the order</t>
  </si>
  <si>
    <t>A single order in the cart</t>
  </si>
  <si>
    <t>No duplicate order is created and the amount is not charged twice; the duplicate scenario is handled correctly</t>
  </si>
  <si>
    <t>👤  TS-006  |  Account Management Suite  —  Jawwal e-Store (https://estore.jawwal.ps)</t>
  </si>
  <si>
    <t>TC-006-01</t>
  </si>
  <si>
    <t>View personal account details</t>
  </si>
  <si>
    <t>1. Go to 'My Account' page after logging in
2. Review the displayed data</t>
  </si>
  <si>
    <t>An actually logged-in account</t>
  </si>
  <si>
    <t>Account details (name, email, phone...) are displayed correctly and match what is registered</t>
  </si>
  <si>
    <t>TC-006-02</t>
  </si>
  <si>
    <t>Edit account details (name/phone)</t>
  </si>
  <si>
    <t>User logged in on account page</t>
  </si>
  <si>
    <t>1. Open the profile edit page
2. Update the name and/or phone number with valid data
3. Save changes</t>
  </si>
  <si>
    <t>New name / New valid phone number</t>
  </si>
  <si>
    <t>Changes are saved successfully with a confirmation message, and new data reflects immediately</t>
  </si>
  <si>
    <t>TC-006-03</t>
  </si>
  <si>
    <t>Change password with valid data</t>
  </si>
  <si>
    <t>Logged-in user knows their current password</t>
  </si>
  <si>
    <t>1. Open the change password page
2. Enter the correct current password
3. Enter a new password and matching confirmation
4. Save</t>
  </si>
  <si>
    <t>Current: OldPass@1
New: NewPass@2
Confirm: NewPass@2</t>
  </si>
  <si>
    <t>Password is updated successfully with a confirmation message, and login works with the new password afterward</t>
  </si>
  <si>
    <t>TC-006-04</t>
  </si>
  <si>
    <t>User has one or more completed prior orders</t>
  </si>
  <si>
    <t>1. Open the 'My Orders / Order History' section on the account page</t>
  </si>
  <si>
    <t>Account with one or more prior orders</t>
  </si>
  <si>
    <t>The list of previous orders (date, status, total) is displayed correctly</t>
  </si>
  <si>
    <t>TC-006-05</t>
  </si>
  <si>
    <t>Add/edit a new shipping address</t>
  </si>
  <si>
    <t>Logged-in user on the addresses page</t>
  </si>
  <si>
    <t>1. Open the Addresses section on the account page
2. Add a new address with valid, complete data
3. Save the address</t>
  </si>
  <si>
    <t>Complete and valid address (city, street, phone)</t>
  </si>
  <si>
    <t>Address is saved successfully and appears in the list of addresses available for use at checkout</t>
  </si>
  <si>
    <t>TC-006-06</t>
  </si>
  <si>
    <t>Change password entering the current password incorrectly</t>
  </si>
  <si>
    <t>Logged-in user</t>
  </si>
  <si>
    <t>1. Open the change password page
2. Enter a wrong current password
3. Enter a new password and save</t>
  </si>
  <si>
    <t>Current password (wrong): Wrong@1</t>
  </si>
  <si>
    <t>Error message 'Current password is incorrect' appears and the password is not updated</t>
  </si>
  <si>
    <t>TC-006-07</t>
  </si>
  <si>
    <t>Change email to one used by another account</t>
  </si>
  <si>
    <t>Another account already registered with that target email</t>
  </si>
  <si>
    <t>1. Open the account edit page
2. Change the email to one already used by another account
3. Save</t>
  </si>
  <si>
    <t>Email: usedByAnotherAccount@example.com</t>
  </si>
  <si>
    <t>An error message clarifies the email is already in use, and the change is not saved</t>
  </si>
  <si>
    <t>TC-006-08</t>
  </si>
  <si>
    <t>Save account details with required fields empty</t>
  </si>
  <si>
    <t>Account edit page has required fields</t>
  </si>
  <si>
    <t>1. Open the account edit page
2. Clear a required field value (e.g. name)
3. Try to save</t>
  </si>
  <si>
    <t>Name field: (empty)</t>
  </si>
  <si>
    <t>A validation message prevents saving until the required field is filled</t>
  </si>
  <si>
    <t>TC-006-09</t>
  </si>
  <si>
    <t>Access the account page without logging in</t>
  </si>
  <si>
    <t>User is not logged in (Guest)</t>
  </si>
  <si>
    <t>1. Try to directly open the account page URL (/customer/account) as a guest</t>
  </si>
  <si>
    <t>State: Not logged in</t>
  </si>
  <si>
    <t>User is automatically redirected to the login page and no account data is shown</t>
  </si>
  <si>
    <t>TC-006-10</t>
  </si>
  <si>
    <t>Set a new password that doesn't match the confirmation</t>
  </si>
  <si>
    <t>Change password page</t>
  </si>
  <si>
    <t>1. Enter the correct current password
2. Enter a new password
3. Enter a different confirmation value
4. Save</t>
  </si>
  <si>
    <t>New: NewPass@2 / Confirm: NewPass@3</t>
  </si>
  <si>
    <t>Error message 'Passwords do not match' appears and the password is not updated</t>
  </si>
  <si>
    <t>📱  TS-007  |  UI &amp; Compatibility Suite  —  Jawwal e-Store (https://estore.jawwal.ps)</t>
  </si>
  <si>
    <t>TC-007-01</t>
  </si>
  <si>
    <t>Display the website on different browsers</t>
  </si>
  <si>
    <t>Chrome, Firefox, Safari, Edge are available</t>
  </si>
  <si>
    <t>1. Open the website on each of the four browsers
2. Compare layout and core functionality</t>
  </si>
  <si>
    <t>Chrome / Firefox / Safari / Edge (latest versions)</t>
  </si>
  <si>
    <t>Website displays with a consistent design and all core functions work the same across browsers</t>
  </si>
  <si>
    <t>TC-007-02</t>
  </si>
  <si>
    <t>Responsiveness across different screen sizes</t>
  </si>
  <si>
    <t>Devices/emulators of different sizes available</t>
  </si>
  <si>
    <t>1. Open the website on Desktop
2. Open the website on Tablet
3. Open the website on Mobile</t>
  </si>
  <si>
    <t>Resolutions: 1920x1080 / 768x1024 / 375x812</t>
  </si>
  <si>
    <t>Website layout adapts (Responsive) correctly without overlapping elements or clipped content at any size</t>
  </si>
  <si>
    <t>TC-007-03</t>
  </si>
  <si>
    <t>Switch between Arabic and English language</t>
  </si>
  <si>
    <t>Website supports more than one language</t>
  </si>
  <si>
    <t>1. Click the language change option
2. Switch between Arabic and English</t>
  </si>
  <si>
    <t>Locale: ar / en</t>
  </si>
  <si>
    <t>Page content and layout direction (RTL for Arabic / LTR for English) change correctly and instantly</t>
  </si>
  <si>
    <t>TC-007-04</t>
  </si>
  <si>
    <t>Footer links work correctly</t>
  </si>
  <si>
    <t>Footer contains links (Return Policy, Terms, Contact Us)</t>
  </si>
  <si>
    <t>1. Click each footer link in sequence (About Us, Contact Us, Return Policy, Terms &amp; Conditions)</t>
  </si>
  <si>
    <t>All footer links</t>
  </si>
  <si>
    <t>Each link opens the correct corresponding page without 404 errors or blank pages</t>
  </si>
  <si>
    <t>TC-007-05</t>
  </si>
  <si>
    <t>WhatsApp contact button works</t>
  </si>
  <si>
    <t>WhatsApp button visible on all site pages</t>
  </si>
  <si>
    <t>1. Click the 'Chat with us on WhatsApp' icon/button</t>
  </si>
  <si>
    <t>WhatsApp button on the homepage</t>
  </si>
  <si>
    <t>Opens WhatsApp app/web with a chat directed to the correct store support number</t>
  </si>
  <si>
    <t>TC-007-06</t>
  </si>
  <si>
    <t>Display the website at a very small screen resolution</t>
  </si>
  <si>
    <t>Device/emulation with resolution below the minimum supported</t>
  </si>
  <si>
    <t>1. Open the website at a very small screen resolution (e.g. 240x320)</t>
  </si>
  <si>
    <t>Resolution: 240x320</t>
  </si>
  <si>
    <t>No layout breakage or element overlap occurs; an acceptable layout or a minimum-support message is shown</t>
  </si>
  <si>
    <t>TC-007-07</t>
  </si>
  <si>
    <t>Image fails to load (broken link)</t>
  </si>
  <si>
    <t>Simulated invalid image link on the page</t>
  </si>
  <si>
    <t>1. Simulate a broken image link on the page (via dev tools)
2. Load the page</t>
  </si>
  <si>
    <t>Broken image URL</t>
  </si>
  <si>
    <t>A placeholder image / alt text is shown without breaking the rest of the page layout</t>
  </si>
  <si>
    <t>TC-007-08</t>
  </si>
  <si>
    <t>Browse the website on slow/unstable internet</t>
  </si>
  <si>
    <t>Simulated slow network (Throttling)</t>
  </si>
  <si>
    <t>1. Enable a slow network simulation (Slow 3G) via dev tools
2. Browse several pages on the website</t>
  </si>
  <si>
    <t>Network: Slow 3G / Offline intermittent</t>
  </si>
  <si>
    <t>Appropriate loading indicators (Loading/Spinner) appear, and the page neither freezes nor shows unclear errors</t>
  </si>
  <si>
    <t>TC-007-09</t>
  </si>
  <si>
    <t>Navigate using keyboard only (Accessibility)</t>
  </si>
  <si>
    <t>Homepage/product page is open</t>
  </si>
  <si>
    <t>1. Use the Tab key to navigate between page elements (links, buttons, fields) without using the mouse</t>
  </si>
  <si>
    <t>Keyboard only navigation</t>
  </si>
  <si>
    <t>All interactive elements are reachable in a logical order with a clear focus indicator on each element</t>
  </si>
  <si>
    <t>TC-007-10</t>
  </si>
  <si>
    <t>Open the website on an old/unsupported browser</t>
  </si>
  <si>
    <t>Legacy browser version available</t>
  </si>
  <si>
    <t>1. Open the website on an officially unsupported old browser version (e.g. Internet Explorer 11)</t>
  </si>
  <si>
    <t>Browser: IE11 / Old browser version</t>
  </si>
  <si>
    <t>An unsupported-browser notice is shown, or the site works with a minimally acceptable set of functions without total breakage</t>
  </si>
  <si>
    <t xml:space="preserve">🔐  TS-001  |  Authentication Suite </t>
  </si>
  <si>
    <t>📋 Test Plan</t>
  </si>
  <si>
    <t>🔐  Test Scenario-001  |  Authentication Suite</t>
  </si>
  <si>
    <t>Account is created successfully. A confirmation message appears and/or a verification phone number is sent and automatically redirecTest Scenario you to the login page.</t>
  </si>
  <si>
    <t>🔍  Test Scenario-002  |  Search &amp; Filter Suite</t>
  </si>
  <si>
    <t>All iPhone-related producTest Scenario are displayed with correct count and available filters.</t>
  </si>
  <si>
    <t>Either a prompt is shown to enter a keyword, or all producTest Scenario are returned.</t>
  </si>
  <si>
    <t>A 'No resulTest Scenario found' message is displayed without any system error.</t>
  </si>
  <si>
    <t>No resulTest Scenario found' message is clearly displayed.</t>
  </si>
  <si>
    <t>Filter producTest Scenario by brand — Samsung</t>
  </si>
  <si>
    <t>ProducTest Scenario are listed on a category page</t>
  </si>
  <si>
    <t>Only Samsung producTest Scenario are shown. Other brands are excluded from resulTest Scenario.</t>
  </si>
  <si>
    <t>Filter producTest Scenario by price range 100–500 ILS</t>
  </si>
  <si>
    <t>Only producTest Scenario priced between 100 and 500 ILS are displayed.</t>
  </si>
  <si>
    <t>📦  Test Scenario-003  |  Product Details Suite</t>
  </si>
  <si>
    <t>ProducTest Scenario are available in the listing</t>
  </si>
  <si>
    <t>🛒  Test Scenario-004  |  Shopping Cart Suite</t>
  </si>
  <si>
    <t>Cart has multiple producTest Scenario</t>
  </si>
  <si>
    <t>Cart persisTest Scenario after logout and login</t>
  </si>
  <si>
    <t>Previously added producTest Scenario are still present in the cart.</t>
  </si>
  <si>
    <t>💳  Test Scenario-005  |  Checkout Suite</t>
  </si>
  <si>
    <t>Checkout is cancelled. Cart remains intact with all previously added producTest Scenario.</t>
  </si>
  <si>
    <t>👤  Test Scenario-006  |  Account Management Suite</t>
  </si>
  <si>
    <t>📱  Test Scenario-007  |  UI &amp; Compatibility Suite</t>
  </si>
  <si>
    <t>All elemenTest Scenario display correctly. No horizontal scrolling. Buttons are tappable and text is readable.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</si>
</sst>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charset val="1"/>
    </font>
    <font>
      <b/>
      <sz val="14"/>
      <color rgb="FFFFFFFF"/>
      <name val="Arial"/>
      <charset val="1"/>
    </font>
    <font>
      <b/>
      <sz val="10"/>
      <color rgb="FFFFFFFF"/>
      <name val="Arial"/>
      <charset val="1"/>
    </font>
    <font>
      <sz val="10"/>
      <name val="Arial"/>
      <charset val="1"/>
    </font>
    <font>
      <b/>
      <sz val="9"/>
      <name val="Arial"/>
      <charset val="1"/>
    </font>
    <font>
      <b/>
      <sz val="10"/>
      <name val="Arial"/>
      <charset val="1"/>
    </font>
    <font>
      <sz val="9"/>
      <name val="Arial"/>
      <charset val="1"/>
    </font>
    <font>
      <b/>
      <sz val="10"/>
      <color rgb="FFFFFFFF"/>
      <name val="Arial"/>
      <family val="2"/>
      <charset val="1"/>
    </font>
    <font>
      <b/>
      <sz val="11"/>
      <color theme="0"/>
      <name val="Calibri"/>
      <family val="2"/>
      <charset val="1"/>
    </font>
    <font>
      <b/>
      <sz val="11"/>
      <color rgb="FFFFFFFF"/>
      <name val="Arial"/>
      <charset val="1"/>
    </font>
    <font>
      <sz val="10"/>
      <color rgb="FF000000"/>
      <name val="Arial"/>
      <charset val="1"/>
    </font>
    <font>
      <b/>
      <sz val="10"/>
      <color rgb="FF9C0006"/>
      <name val="Arial"/>
      <charset val="1"/>
    </font>
    <font>
      <sz val="10"/>
      <color rgb="FF276221"/>
      <name val="Arial"/>
      <charset val="1"/>
    </font>
    <font>
      <b/>
      <sz val="10"/>
      <color rgb="FF9C5700"/>
      <name val="Arial"/>
      <charset val="1"/>
    </font>
    <font>
      <b/>
      <sz val="10"/>
      <color rgb="FF1F4E79"/>
      <name val="Arial"/>
      <charset val="1"/>
    </font>
    <font>
      <b/>
      <sz val="10"/>
      <color rgb="FF276221"/>
      <name val="Arial"/>
      <charset val="1"/>
    </font>
    <font>
      <b/>
      <sz val="11"/>
      <name val="Arial"/>
      <charset val="1"/>
    </font>
    <font>
      <b/>
      <sz val="13"/>
      <color rgb="FFFFFFFF"/>
      <name val="Arial"/>
      <charset val="1"/>
    </font>
    <font>
      <sz val="10"/>
      <color rgb="FF276221"/>
      <name val="Arial"/>
      <family val="2"/>
    </font>
    <font>
      <sz val="10"/>
      <color rgb="FF000000"/>
      <name val="Arial"/>
      <family val="2"/>
    </font>
    <font>
      <b/>
      <sz val="11"/>
      <color rgb="FFFFFFFF"/>
      <name val="Arial"/>
      <family val="2"/>
    </font>
    <font>
      <b/>
      <sz val="10"/>
      <color rgb="FF9C5700"/>
      <name val="Arial"/>
      <family val="2"/>
    </font>
    <font>
      <sz val="10"/>
      <name val="Arial"/>
      <family val="2"/>
      <charset val="178"/>
    </font>
    <font>
      <sz val="11"/>
      <name val="Calibri"/>
      <family val="2"/>
      <charset val="178"/>
    </font>
    <font>
      <sz val="11"/>
      <color rgb="FF006100"/>
      <name val="Calibri"/>
      <family val="2"/>
      <charset val="178"/>
      <scheme val="minor"/>
    </font>
    <font>
      <sz val="11"/>
      <color rgb="FF9C0006"/>
      <name val="Calibri"/>
      <family val="2"/>
      <charset val="178"/>
      <scheme val="minor"/>
    </font>
    <font>
      <b/>
      <sz val="11"/>
      <color rgb="FF9C0006"/>
      <name val="Calibri"/>
      <family val="2"/>
    </font>
    <font>
      <b/>
      <sz val="10"/>
      <color rgb="FFFFFFFF"/>
      <name val="Arial"/>
      <family val="2"/>
    </font>
    <font>
      <b/>
      <sz val="10"/>
      <color rgb="FF1F4E79"/>
      <name val="Arial"/>
      <family val="2"/>
    </font>
    <font>
      <b/>
      <sz val="10"/>
      <color rgb="FF000000"/>
      <name val="Arial"/>
      <charset val="1"/>
    </font>
    <font>
      <b/>
      <sz val="11"/>
      <color theme="1"/>
      <name val="Calibri"/>
      <family val="2"/>
    </font>
    <font>
      <sz val="10"/>
      <name val="Arial"/>
      <family val="2"/>
    </font>
    <font>
      <u/>
      <sz val="11"/>
      <color theme="11"/>
      <name val="Calibri"/>
      <family val="2"/>
      <charset val="1"/>
    </font>
  </fonts>
  <fills count="19">
    <fill>
      <patternFill patternType="none"/>
    </fill>
    <fill>
      <patternFill patternType="gray125"/>
    </fill>
    <fill>
      <patternFill patternType="solid">
        <fgColor rgb="FF1F4E79"/>
        <bgColor rgb="FF003366"/>
      </patternFill>
    </fill>
    <fill>
      <patternFill patternType="solid">
        <fgColor rgb="FF2E75B6"/>
        <bgColor rgb="FF4F81BD"/>
      </patternFill>
    </fill>
    <fill>
      <patternFill patternType="solid">
        <fgColor rgb="FFF2F2F2"/>
        <bgColor rgb="FFDDEBF7"/>
      </patternFill>
    </fill>
    <fill>
      <patternFill patternType="solid">
        <fgColor rgb="FFFFFFFF"/>
        <bgColor rgb="FFF2F2F2"/>
      </patternFill>
    </fill>
    <fill>
      <patternFill patternType="solid">
        <fgColor rgb="FFBDD7EE"/>
        <bgColor rgb="FFB7C6D9"/>
      </patternFill>
    </fill>
    <fill>
      <patternFill patternType="solid">
        <fgColor theme="4"/>
        <bgColor rgb="FF2E75B6"/>
      </patternFill>
    </fill>
    <fill>
      <patternFill patternType="solid">
        <fgColor rgb="FFFFC7CE"/>
        <bgColor rgb="FFD9D9D9"/>
      </patternFill>
    </fill>
    <fill>
      <patternFill patternType="solid">
        <fgColor rgb="FFC6EFCE"/>
        <bgColor rgb="FFDDEBF7"/>
      </patternFill>
    </fill>
    <fill>
      <patternFill patternType="solid">
        <fgColor rgb="FFFFEB9C"/>
        <bgColor rgb="FFF2F2F2"/>
      </patternFill>
    </fill>
    <fill>
      <patternFill patternType="solid">
        <fgColor rgb="FFDDEBF7"/>
        <bgColor rgb="FFF2F2F2"/>
      </patternFill>
    </fill>
    <fill>
      <patternFill patternType="solid">
        <fgColor rgb="FFD9D9D9"/>
        <bgColor rgb="FFBDD7EE"/>
      </patternFill>
    </fill>
    <fill>
      <patternFill patternType="solid">
        <fgColor rgb="FFFF0000"/>
        <bgColor rgb="FF9C0006"/>
      </patternFill>
    </fill>
    <fill>
      <patternFill patternType="solid">
        <fgColor rgb="FFC6EFCE"/>
      </patternFill>
    </fill>
    <fill>
      <patternFill patternType="solid">
        <fgColor rgb="FFFFC7CE"/>
      </patternFill>
    </fill>
    <fill>
      <patternFill patternType="solid">
        <fgColor rgb="FFFF0000"/>
        <bgColor indexed="64"/>
      </patternFill>
    </fill>
    <fill>
      <patternFill patternType="solid">
        <fgColor rgb="FF00B050"/>
        <bgColor rgb="FF003366"/>
      </patternFill>
    </fill>
    <fill>
      <patternFill patternType="solid">
        <fgColor rgb="FF00B050"/>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rgb="FFBFBFBF"/>
      </left>
      <right/>
      <top style="thin">
        <color rgb="FFBFBFBF"/>
      </top>
      <bottom style="thin">
        <color rgb="FFBFBFBF"/>
      </bottom>
      <diagonal/>
    </border>
    <border>
      <left style="thin">
        <color rgb="FF3F3F3F"/>
      </left>
      <right style="thin">
        <color rgb="FF3F3F3F"/>
      </right>
      <top style="thin">
        <color rgb="FF3F3F3F"/>
      </top>
      <bottom style="thin">
        <color rgb="FF3F3F3F"/>
      </bottom>
      <diagonal/>
    </border>
    <border>
      <left style="thin">
        <color rgb="FFB7C6D9"/>
      </left>
      <right style="thin">
        <color rgb="FFB7C6D9"/>
      </right>
      <top style="thin">
        <color rgb="FFB7C6D9"/>
      </top>
      <bottom style="thin">
        <color rgb="FFB7C6D9"/>
      </bottom>
      <diagonal/>
    </border>
    <border>
      <left style="thin">
        <color rgb="FFD9D9D9"/>
      </left>
      <right/>
      <top style="thin">
        <color rgb="FFD9D9D9"/>
      </top>
      <bottom style="thin">
        <color rgb="FFD9D9D9"/>
      </bottom>
      <diagonal/>
    </border>
    <border>
      <left/>
      <right/>
      <top style="thin">
        <color rgb="FFB7C6D9"/>
      </top>
      <bottom style="thin">
        <color rgb="FFB7C6D9"/>
      </bottom>
      <diagonal/>
    </border>
    <border>
      <left/>
      <right style="thin">
        <color rgb="FFB7C6D9"/>
      </right>
      <top style="thin">
        <color rgb="FFB7C6D9"/>
      </top>
      <bottom style="thin">
        <color rgb="FFB7C6D9"/>
      </bottom>
      <diagonal/>
    </border>
    <border>
      <left/>
      <right/>
      <top style="thin">
        <color rgb="FFBFBFBF"/>
      </top>
      <bottom style="thin">
        <color rgb="FFBFBFBF"/>
      </bottom>
      <diagonal/>
    </border>
    <border>
      <left/>
      <right/>
      <top style="thin">
        <color rgb="FFD9D9D9"/>
      </top>
      <bottom style="thin">
        <color rgb="FFD9D9D9"/>
      </bottom>
      <diagonal/>
    </border>
  </borders>
  <cellStyleXfs count="4">
    <xf numFmtId="0" fontId="0" fillId="0" borderId="0"/>
    <xf numFmtId="0" fontId="24" fillId="14" borderId="0"/>
    <xf numFmtId="0" fontId="25" fillId="15" borderId="0"/>
    <xf numFmtId="0" fontId="32" fillId="0" borderId="0" applyNumberFormat="0" applyFill="0" applyBorder="0" applyAlignment="0" applyProtection="0"/>
  </cellStyleXfs>
  <cellXfs count="92">
    <xf numFmtId="0" fontId="0" fillId="0" borderId="0" xfId="0"/>
    <xf numFmtId="0" fontId="0" fillId="0" borderId="0" xfId="0"/>
    <xf numFmtId="0" fontId="2" fillId="3"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3" fillId="5" borderId="2" xfId="0" applyFont="1" applyFill="1" applyBorder="1" applyAlignment="1">
      <alignment horizontal="center" vertical="center" wrapText="1"/>
    </xf>
    <xf numFmtId="0" fontId="3" fillId="5" borderId="2" xfId="0" applyFont="1" applyFill="1" applyBorder="1" applyAlignment="1">
      <alignment horizontal="left" vertical="center" wrapText="1"/>
    </xf>
    <xf numFmtId="0" fontId="5" fillId="6"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10" fillId="4" borderId="2" xfId="0" applyFont="1" applyFill="1" applyBorder="1" applyAlignment="1">
      <alignment horizontal="center" vertical="top" wrapText="1"/>
    </xf>
    <xf numFmtId="0" fontId="11" fillId="8" borderId="2" xfId="0" applyFont="1" applyFill="1" applyBorder="1" applyAlignment="1">
      <alignment horizontal="center" vertical="top" wrapText="1"/>
    </xf>
    <xf numFmtId="0" fontId="12" fillId="9" borderId="2" xfId="0" applyFont="1" applyFill="1" applyBorder="1" applyAlignment="1">
      <alignment horizontal="left" vertical="top" wrapText="1"/>
    </xf>
    <xf numFmtId="0" fontId="10" fillId="4" borderId="2" xfId="0" applyFont="1" applyFill="1" applyBorder="1" applyAlignment="1">
      <alignment horizontal="left" vertical="top" wrapText="1"/>
    </xf>
    <xf numFmtId="0" fontId="10" fillId="5" borderId="2" xfId="0" applyFont="1" applyFill="1" applyBorder="1" applyAlignment="1">
      <alignment horizontal="center" vertical="top" wrapText="1"/>
    </xf>
    <xf numFmtId="0" fontId="10" fillId="5" borderId="2" xfId="0" applyFont="1" applyFill="1" applyBorder="1" applyAlignment="1">
      <alignment horizontal="left" vertical="top" wrapText="1"/>
    </xf>
    <xf numFmtId="0" fontId="13" fillId="10" borderId="2" xfId="0" applyFont="1" applyFill="1" applyBorder="1" applyAlignment="1">
      <alignment horizontal="center" vertical="top" wrapText="1"/>
    </xf>
    <xf numFmtId="0" fontId="14" fillId="11" borderId="2" xfId="0" applyFont="1" applyFill="1" applyBorder="1" applyAlignment="1">
      <alignment horizontal="center" vertical="top" wrapText="1"/>
    </xf>
    <xf numFmtId="0" fontId="15" fillId="9" borderId="2" xfId="0" applyFont="1" applyFill="1" applyBorder="1" applyAlignment="1">
      <alignment horizontal="center" vertical="top" wrapText="1"/>
    </xf>
    <xf numFmtId="0" fontId="4" fillId="8" borderId="1" xfId="0" applyFont="1" applyFill="1" applyBorder="1" applyAlignment="1">
      <alignment horizontal="center" vertical="center"/>
    </xf>
    <xf numFmtId="0" fontId="16" fillId="8" borderId="1" xfId="0" applyFont="1" applyFill="1" applyBorder="1" applyAlignment="1">
      <alignment horizontal="center" vertical="center"/>
    </xf>
    <xf numFmtId="0" fontId="4" fillId="10" borderId="1" xfId="0" applyFont="1" applyFill="1" applyBorder="1" applyAlignment="1">
      <alignment horizontal="center" vertical="center"/>
    </xf>
    <xf numFmtId="0" fontId="16" fillId="10" borderId="1" xfId="0" applyFont="1" applyFill="1" applyBorder="1" applyAlignment="1">
      <alignment horizontal="center" vertical="center"/>
    </xf>
    <xf numFmtId="0" fontId="4" fillId="11" borderId="1" xfId="0" applyFont="1" applyFill="1" applyBorder="1" applyAlignment="1">
      <alignment horizontal="center" vertical="center"/>
    </xf>
    <xf numFmtId="0" fontId="16" fillId="11" borderId="1" xfId="0" applyFont="1" applyFill="1" applyBorder="1" applyAlignment="1">
      <alignment horizontal="center" vertical="center"/>
    </xf>
    <xf numFmtId="0" fontId="4" fillId="9" borderId="1" xfId="0" applyFont="1" applyFill="1" applyBorder="1" applyAlignment="1">
      <alignment horizontal="center" vertical="center"/>
    </xf>
    <xf numFmtId="0" fontId="16" fillId="9" borderId="1" xfId="0" applyFont="1" applyFill="1" applyBorder="1" applyAlignment="1">
      <alignment horizontal="center" vertical="center"/>
    </xf>
    <xf numFmtId="0" fontId="4" fillId="12" borderId="1" xfId="0" applyFont="1" applyFill="1" applyBorder="1" applyAlignment="1">
      <alignment horizontal="center" vertical="center"/>
    </xf>
    <xf numFmtId="0" fontId="16" fillId="12"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13" fillId="10" borderId="2" xfId="0" applyFont="1" applyFill="1" applyBorder="1" applyAlignment="1">
      <alignment horizontal="center" vertical="top"/>
    </xf>
    <xf numFmtId="0" fontId="10" fillId="4" borderId="2" xfId="0" applyFont="1" applyFill="1" applyBorder="1" applyAlignment="1">
      <alignment horizontal="center" vertical="top"/>
    </xf>
    <xf numFmtId="0" fontId="11" fillId="8" borderId="2" xfId="0" applyFont="1" applyFill="1" applyBorder="1" applyAlignment="1">
      <alignment horizontal="center" vertical="top"/>
    </xf>
    <xf numFmtId="0" fontId="2" fillId="13" borderId="2" xfId="0" applyFont="1" applyFill="1" applyBorder="1" applyAlignment="1">
      <alignment horizontal="center" vertical="top"/>
    </xf>
    <xf numFmtId="0" fontId="10" fillId="5" borderId="2" xfId="0" applyFont="1" applyFill="1" applyBorder="1" applyAlignment="1">
      <alignment horizontal="center" vertical="top"/>
    </xf>
    <xf numFmtId="0" fontId="15" fillId="9" borderId="2" xfId="0" applyFont="1" applyFill="1" applyBorder="1" applyAlignment="1">
      <alignment horizontal="center" vertical="top"/>
    </xf>
    <xf numFmtId="0" fontId="14" fillId="11" borderId="2" xfId="0" applyFont="1" applyFill="1" applyBorder="1" applyAlignment="1">
      <alignment horizontal="center" vertical="top"/>
    </xf>
    <xf numFmtId="0" fontId="5" fillId="6" borderId="2" xfId="0" applyFont="1" applyFill="1" applyBorder="1" applyAlignment="1">
      <alignment horizontal="center" vertical="center" wrapText="1"/>
    </xf>
    <xf numFmtId="0" fontId="11" fillId="8" borderId="2" xfId="0" applyFont="1" applyFill="1" applyBorder="1" applyAlignment="1">
      <alignment horizontal="center" vertical="center" wrapText="1"/>
    </xf>
    <xf numFmtId="0" fontId="10" fillId="8" borderId="2" xfId="0" applyFont="1" applyFill="1" applyBorder="1" applyAlignment="1">
      <alignment horizontal="left" vertical="center" wrapText="1"/>
    </xf>
    <xf numFmtId="0" fontId="13" fillId="10" borderId="2" xfId="0" applyFont="1" applyFill="1" applyBorder="1" applyAlignment="1">
      <alignment horizontal="center" vertical="center" wrapText="1"/>
    </xf>
    <xf numFmtId="0" fontId="10" fillId="10" borderId="2" xfId="0" applyFont="1" applyFill="1" applyBorder="1" applyAlignment="1">
      <alignment horizontal="left" vertical="center" wrapText="1"/>
    </xf>
    <xf numFmtId="0" fontId="14" fillId="11" borderId="2" xfId="0" applyFont="1" applyFill="1" applyBorder="1" applyAlignment="1">
      <alignment horizontal="center" vertical="center" wrapText="1"/>
    </xf>
    <xf numFmtId="0" fontId="10" fillId="11" borderId="2" xfId="0" applyFont="1" applyFill="1" applyBorder="1" applyAlignment="1">
      <alignment horizontal="left" vertical="center" wrapText="1"/>
    </xf>
    <xf numFmtId="0" fontId="15" fillId="9" borderId="2" xfId="0" applyFont="1" applyFill="1" applyBorder="1" applyAlignment="1">
      <alignment horizontal="center" vertical="center" wrapText="1"/>
    </xf>
    <xf numFmtId="0" fontId="10" fillId="9" borderId="2" xfId="0" applyFont="1" applyFill="1" applyBorder="1" applyAlignment="1">
      <alignment horizontal="left" vertical="center" wrapText="1"/>
    </xf>
    <xf numFmtId="0" fontId="13" fillId="8" borderId="2" xfId="0" applyFont="1" applyFill="1" applyBorder="1" applyAlignment="1">
      <alignment horizontal="left" vertical="center" wrapText="1"/>
    </xf>
    <xf numFmtId="0" fontId="13" fillId="10" borderId="2" xfId="0" applyFont="1" applyFill="1" applyBorder="1" applyAlignment="1">
      <alignment horizontal="left" vertical="center" wrapText="1"/>
    </xf>
    <xf numFmtId="0" fontId="18" fillId="9" borderId="2" xfId="0" applyFont="1" applyFill="1" applyBorder="1" applyAlignment="1">
      <alignment horizontal="left" vertical="top" wrapText="1"/>
    </xf>
    <xf numFmtId="0" fontId="19" fillId="4" borderId="2" xfId="0" applyFont="1" applyFill="1" applyBorder="1" applyAlignment="1">
      <alignment horizontal="center" vertical="top" wrapText="1"/>
    </xf>
    <xf numFmtId="0" fontId="19" fillId="4" borderId="2" xfId="0" applyFont="1" applyFill="1" applyBorder="1" applyAlignment="1">
      <alignment horizontal="left" vertical="top" wrapText="1"/>
    </xf>
    <xf numFmtId="0" fontId="19" fillId="5" borderId="2" xfId="0" applyFont="1" applyFill="1" applyBorder="1" applyAlignment="1">
      <alignment horizontal="left" vertical="top" wrapText="1"/>
    </xf>
    <xf numFmtId="0" fontId="19" fillId="5" borderId="2" xfId="0" applyFont="1" applyFill="1" applyBorder="1" applyAlignment="1">
      <alignment horizontal="center" vertical="top" wrapText="1"/>
    </xf>
    <xf numFmtId="0" fontId="19" fillId="5" borderId="2" xfId="0" quotePrefix="1" applyFont="1" applyFill="1" applyBorder="1" applyAlignment="1">
      <alignment horizontal="left" vertical="top" wrapText="1"/>
    </xf>
    <xf numFmtId="0" fontId="21" fillId="10" borderId="2" xfId="0" applyFont="1" applyFill="1" applyBorder="1" applyAlignment="1">
      <alignment horizontal="center" vertical="top" wrapText="1"/>
    </xf>
    <xf numFmtId="0" fontId="22" fillId="0" borderId="2" xfId="0" applyFont="1" applyBorder="1" applyAlignment="1">
      <alignment horizontal="center" vertical="top" wrapText="1"/>
    </xf>
    <xf numFmtId="0" fontId="22" fillId="0" borderId="2" xfId="0" applyFont="1" applyBorder="1" applyAlignment="1">
      <alignment horizontal="left" vertical="top" wrapText="1"/>
    </xf>
    <xf numFmtId="0" fontId="23" fillId="0" borderId="0" xfId="0" applyFont="1"/>
    <xf numFmtId="0" fontId="24" fillId="14" borderId="2" xfId="1" applyBorder="1" applyAlignment="1">
      <alignment horizontal="left" vertical="top" wrapText="1"/>
    </xf>
    <xf numFmtId="0" fontId="26" fillId="15" borderId="2" xfId="2" applyFont="1" applyBorder="1" applyAlignment="1">
      <alignment horizontal="center" vertical="top" wrapText="1"/>
    </xf>
    <xf numFmtId="0" fontId="19" fillId="0" borderId="2" xfId="0" applyFont="1" applyBorder="1" applyAlignment="1">
      <alignment horizontal="center" vertical="top" wrapText="1"/>
    </xf>
    <xf numFmtId="0" fontId="27" fillId="3" borderId="1" xfId="0" applyFont="1" applyFill="1" applyBorder="1" applyAlignment="1">
      <alignment horizontal="center" vertical="center" wrapText="1"/>
    </xf>
    <xf numFmtId="0" fontId="28" fillId="11" borderId="2" xfId="0" applyFont="1" applyFill="1" applyBorder="1" applyAlignment="1">
      <alignment horizontal="center" vertical="top"/>
    </xf>
    <xf numFmtId="0" fontId="22" fillId="16" borderId="2" xfId="0" applyFont="1" applyFill="1" applyBorder="1" applyAlignment="1">
      <alignment horizontal="center" vertical="top" wrapText="1"/>
    </xf>
    <xf numFmtId="0" fontId="11" fillId="8" borderId="1" xfId="0" applyFont="1" applyFill="1" applyBorder="1" applyAlignment="1">
      <alignment horizontal="center" vertical="top" wrapText="1"/>
    </xf>
    <xf numFmtId="0" fontId="29" fillId="5" borderId="1" xfId="0" applyFont="1" applyFill="1" applyBorder="1" applyAlignment="1">
      <alignment horizontal="center" vertical="top" wrapText="1"/>
    </xf>
    <xf numFmtId="0" fontId="10" fillId="5" borderId="1" xfId="0" applyFont="1" applyFill="1" applyBorder="1" applyAlignment="1">
      <alignment horizontal="center" vertical="top" wrapText="1"/>
    </xf>
    <xf numFmtId="0" fontId="10" fillId="5" borderId="1" xfId="0" applyFont="1" applyFill="1" applyBorder="1" applyAlignment="1">
      <alignment horizontal="left" vertical="top" wrapText="1"/>
    </xf>
    <xf numFmtId="0" fontId="2" fillId="13" borderId="1" xfId="0" applyFont="1" applyFill="1" applyBorder="1" applyAlignment="1">
      <alignment horizontal="center" vertical="top" wrapText="1"/>
    </xf>
    <xf numFmtId="0" fontId="24" fillId="14" borderId="0" xfId="1" applyAlignment="1">
      <alignment vertical="center"/>
    </xf>
    <xf numFmtId="0" fontId="0" fillId="0" borderId="0" xfId="0" applyAlignment="1">
      <alignment vertical="center"/>
    </xf>
    <xf numFmtId="0" fontId="0" fillId="0" borderId="0" xfId="0" applyAlignment="1">
      <alignment vertical="center" wrapText="1"/>
    </xf>
    <xf numFmtId="0" fontId="30" fillId="0" borderId="0" xfId="0" applyFont="1" applyAlignment="1">
      <alignment vertical="center"/>
    </xf>
    <xf numFmtId="0" fontId="31" fillId="4" borderId="2" xfId="0" applyFont="1" applyFill="1" applyBorder="1" applyAlignment="1">
      <alignment horizontal="center" vertical="center" wrapText="1"/>
    </xf>
    <xf numFmtId="0" fontId="32" fillId="4" borderId="2" xfId="3" applyFill="1" applyBorder="1" applyAlignment="1">
      <alignment horizontal="center" vertical="top" wrapText="1"/>
    </xf>
    <xf numFmtId="0" fontId="1" fillId="2" borderId="0" xfId="0" applyFont="1" applyFill="1" applyAlignment="1">
      <alignment horizontal="center" vertical="center"/>
    </xf>
    <xf numFmtId="0" fontId="0" fillId="0" borderId="0" xfId="0"/>
    <xf numFmtId="0" fontId="6" fillId="6" borderId="3" xfId="0" applyFont="1" applyFill="1" applyBorder="1" applyAlignment="1">
      <alignment horizontal="left" vertical="center" wrapText="1"/>
    </xf>
    <xf numFmtId="0" fontId="0" fillId="0" borderId="9" xfId="0" applyBorder="1"/>
    <xf numFmtId="0" fontId="2" fillId="3" borderId="3" xfId="0" applyFont="1" applyFill="1" applyBorder="1" applyAlignment="1">
      <alignment horizontal="center" vertical="center" wrapText="1"/>
    </xf>
    <xf numFmtId="0" fontId="4" fillId="6" borderId="3" xfId="0" applyFont="1" applyFill="1" applyBorder="1" applyAlignment="1">
      <alignment horizontal="left" vertical="center" wrapText="1"/>
    </xf>
    <xf numFmtId="0" fontId="3" fillId="4" borderId="6" xfId="0" applyFont="1" applyFill="1" applyBorder="1" applyAlignment="1">
      <alignment horizontal="left" vertical="center" wrapText="1"/>
    </xf>
    <xf numFmtId="0" fontId="0" fillId="0" borderId="10" xfId="0" applyBorder="1"/>
    <xf numFmtId="0" fontId="9" fillId="3" borderId="6" xfId="0" applyFont="1" applyFill="1" applyBorder="1" applyAlignment="1">
      <alignment horizontal="center" vertical="center" wrapText="1"/>
    </xf>
    <xf numFmtId="0" fontId="3" fillId="5" borderId="6" xfId="0" applyFont="1" applyFill="1" applyBorder="1" applyAlignment="1">
      <alignment horizontal="left" vertical="center" wrapText="1"/>
    </xf>
    <xf numFmtId="0" fontId="17" fillId="2" borderId="6" xfId="0" applyFont="1" applyFill="1" applyBorder="1" applyAlignment="1">
      <alignment horizontal="center" vertical="center" wrapText="1"/>
    </xf>
    <xf numFmtId="0" fontId="0" fillId="0" borderId="0" xfId="0" applyNumberFormat="1"/>
    <xf numFmtId="0" fontId="20" fillId="17" borderId="5" xfId="0" applyFont="1" applyFill="1" applyBorder="1" applyAlignment="1">
      <alignment horizontal="left" vertical="center" indent="1"/>
    </xf>
    <xf numFmtId="0" fontId="0" fillId="18" borderId="7" xfId="0" applyFill="1" applyBorder="1"/>
    <xf numFmtId="0" fontId="0" fillId="18" borderId="8" xfId="0" applyFill="1" applyBorder="1"/>
    <xf numFmtId="0" fontId="9" fillId="17" borderId="5" xfId="0" applyFont="1" applyFill="1" applyBorder="1" applyAlignment="1">
      <alignment horizontal="left" vertical="center" indent="1"/>
    </xf>
  </cellXfs>
  <cellStyles count="4">
    <cellStyle name="Followed Hyperlink" xfId="3" builtinId="9"/>
    <cellStyle name="جيد" xfId="1" builtinId="26"/>
    <cellStyle name="سيئ" xfId="2" builtinId="27"/>
    <cellStyle name="عادي"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276221"/>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D9D9"/>
      <rgbColor rgb="FFC6EFCE"/>
      <rgbColor rgb="FFFFEB9C"/>
      <rgbColor rgb="FFB7C6D9"/>
      <rgbColor rgb="FFFF99CC"/>
      <rgbColor rgb="FFCC99FF"/>
      <rgbColor rgb="FFFFC7CE"/>
      <rgbColor rgb="FF2E75B6"/>
      <rgbColor rgb="FF33CCCC"/>
      <rgbColor rgb="FF99CC00"/>
      <rgbColor rgb="FFFFCC00"/>
      <rgbColor rgb="FFFF9900"/>
      <rgbColor rgb="FFFF6600"/>
      <rgbColor rgb="FF4F81BD"/>
      <rgbColor rgb="FF969696"/>
      <rgbColor rgb="FF003366"/>
      <rgbColor rgb="FF339966"/>
      <rgbColor rgb="FF003300"/>
      <rgbColor rgb="FF333300"/>
      <rgbColor rgb="FF9C5700"/>
      <rgbColor rgb="FF993366"/>
      <rgbColor rgb="FF1F4E79"/>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zoomScaleNormal="100" workbookViewId="0">
      <pane ySplit="2" topLeftCell="A3" activePane="bottomLeft" state="frozen"/>
      <selection pane="bottomLeft" sqref="A1:J1"/>
    </sheetView>
  </sheetViews>
  <sheetFormatPr defaultColWidth="8.6640625" defaultRowHeight="14.4" x14ac:dyDescent="0.3"/>
  <cols>
    <col min="1" max="1" width="10" style="1" customWidth="1"/>
    <col min="2" max="2" width="20.44140625" style="1" customWidth="1"/>
    <col min="3" max="3" width="35" style="1" customWidth="1"/>
    <col min="4" max="4" width="10" style="1" customWidth="1"/>
    <col min="5" max="5" width="12" style="1" customWidth="1"/>
    <col min="6" max="6" width="30" style="1" customWidth="1"/>
    <col min="7" max="7" width="14" style="1" customWidth="1"/>
    <col min="8" max="8" width="16" style="1" customWidth="1"/>
    <col min="9" max="9" width="12" style="1" customWidth="1"/>
    <col min="10" max="10" width="20" style="1" customWidth="1"/>
  </cols>
  <sheetData>
    <row r="1" spans="1:10" ht="30" customHeight="1" x14ac:dyDescent="0.3">
      <c r="A1" s="76" t="s">
        <v>0</v>
      </c>
      <c r="B1" s="77"/>
      <c r="C1" s="77"/>
      <c r="D1" s="77"/>
      <c r="E1" s="77"/>
      <c r="F1" s="77"/>
      <c r="G1" s="77"/>
      <c r="H1" s="77"/>
      <c r="I1" s="77"/>
      <c r="J1" s="77"/>
    </row>
    <row r="2" spans="1:10" ht="19.5" customHeight="1" x14ac:dyDescent="0.3">
      <c r="A2" s="2" t="s">
        <v>1</v>
      </c>
      <c r="B2" s="2" t="s">
        <v>2</v>
      </c>
      <c r="C2" s="2" t="s">
        <v>3</v>
      </c>
      <c r="D2" s="2" t="s">
        <v>4</v>
      </c>
      <c r="E2" s="2" t="s">
        <v>5</v>
      </c>
      <c r="F2" s="2" t="s">
        <v>6</v>
      </c>
      <c r="G2" s="2" t="s">
        <v>7</v>
      </c>
      <c r="H2" s="2" t="s">
        <v>8</v>
      </c>
      <c r="I2" s="2" t="s">
        <v>9</v>
      </c>
      <c r="J2" s="2" t="s">
        <v>10</v>
      </c>
    </row>
    <row r="3" spans="1:10" ht="26.4" x14ac:dyDescent="0.3">
      <c r="A3" s="3" t="s">
        <v>11</v>
      </c>
      <c r="B3" s="4" t="s">
        <v>12</v>
      </c>
      <c r="C3" s="4" t="s">
        <v>13</v>
      </c>
      <c r="D3" s="74" t="s">
        <v>14</v>
      </c>
      <c r="E3" s="3" t="s">
        <v>15</v>
      </c>
      <c r="F3" s="4" t="s">
        <v>16</v>
      </c>
      <c r="G3" s="3" t="s">
        <v>17</v>
      </c>
      <c r="H3" s="3" t="s">
        <v>18</v>
      </c>
      <c r="I3" s="3"/>
      <c r="J3" s="4"/>
    </row>
    <row r="4" spans="1:10" ht="26.4" x14ac:dyDescent="0.3">
      <c r="A4" s="5" t="s">
        <v>19</v>
      </c>
      <c r="B4" s="6" t="s">
        <v>20</v>
      </c>
      <c r="C4" s="6" t="s">
        <v>21</v>
      </c>
      <c r="D4" s="5" t="s">
        <v>14</v>
      </c>
      <c r="E4" s="5" t="s">
        <v>22</v>
      </c>
      <c r="F4" s="6" t="s">
        <v>23</v>
      </c>
      <c r="G4" s="5" t="s">
        <v>17</v>
      </c>
      <c r="H4" s="5" t="s">
        <v>18</v>
      </c>
      <c r="I4" s="5"/>
      <c r="J4" s="6"/>
    </row>
    <row r="5" spans="1:10" ht="26.4" x14ac:dyDescent="0.3">
      <c r="A5" s="3" t="s">
        <v>24</v>
      </c>
      <c r="B5" s="4" t="s">
        <v>25</v>
      </c>
      <c r="C5" s="4" t="s">
        <v>26</v>
      </c>
      <c r="D5" s="3" t="s">
        <v>14</v>
      </c>
      <c r="E5" s="3" t="s">
        <v>27</v>
      </c>
      <c r="F5" s="4" t="s">
        <v>28</v>
      </c>
      <c r="G5" s="3" t="s">
        <v>17</v>
      </c>
      <c r="H5" s="3" t="s">
        <v>18</v>
      </c>
      <c r="I5" s="3"/>
      <c r="J5" s="4"/>
    </row>
    <row r="6" spans="1:10" ht="26.4" x14ac:dyDescent="0.3">
      <c r="A6" s="5" t="s">
        <v>29</v>
      </c>
      <c r="B6" s="6" t="s">
        <v>30</v>
      </c>
      <c r="C6" s="6" t="s">
        <v>31</v>
      </c>
      <c r="D6" s="5" t="s">
        <v>14</v>
      </c>
      <c r="E6" s="5" t="s">
        <v>32</v>
      </c>
      <c r="F6" s="6" t="s">
        <v>33</v>
      </c>
      <c r="G6" s="5" t="s">
        <v>17</v>
      </c>
      <c r="H6" s="5" t="s">
        <v>18</v>
      </c>
      <c r="I6" s="5" t="s">
        <v>34</v>
      </c>
      <c r="J6" s="6" t="s">
        <v>35</v>
      </c>
    </row>
    <row r="7" spans="1:10" ht="26.4" x14ac:dyDescent="0.3">
      <c r="A7" s="3" t="s">
        <v>36</v>
      </c>
      <c r="B7" s="4" t="s">
        <v>37</v>
      </c>
      <c r="C7" s="4" t="s">
        <v>38</v>
      </c>
      <c r="D7" s="3" t="s">
        <v>14</v>
      </c>
      <c r="E7" s="3" t="s">
        <v>39</v>
      </c>
      <c r="F7" s="4" t="s">
        <v>40</v>
      </c>
      <c r="G7" s="3" t="s">
        <v>17</v>
      </c>
      <c r="H7" s="3" t="s">
        <v>18</v>
      </c>
      <c r="I7" s="3" t="s">
        <v>41</v>
      </c>
      <c r="J7" s="4" t="s">
        <v>42</v>
      </c>
    </row>
    <row r="8" spans="1:10" ht="26.4" x14ac:dyDescent="0.3">
      <c r="A8" s="5" t="s">
        <v>43</v>
      </c>
      <c r="B8" s="6" t="s">
        <v>44</v>
      </c>
      <c r="C8" s="6" t="s">
        <v>45</v>
      </c>
      <c r="D8" s="5" t="s">
        <v>46</v>
      </c>
      <c r="E8" s="5" t="s">
        <v>47</v>
      </c>
      <c r="F8" s="6" t="s">
        <v>48</v>
      </c>
      <c r="G8" s="5" t="s">
        <v>17</v>
      </c>
      <c r="H8" s="5" t="s">
        <v>18</v>
      </c>
      <c r="I8" s="5"/>
      <c r="J8" s="6"/>
    </row>
    <row r="9" spans="1:10" ht="26.4" x14ac:dyDescent="0.3">
      <c r="A9" s="3" t="s">
        <v>49</v>
      </c>
      <c r="B9" s="4" t="s">
        <v>50</v>
      </c>
      <c r="C9" s="4" t="s">
        <v>51</v>
      </c>
      <c r="D9" s="3" t="s">
        <v>46</v>
      </c>
      <c r="E9" s="3" t="s">
        <v>52</v>
      </c>
      <c r="F9" s="4" t="s">
        <v>53</v>
      </c>
      <c r="G9" s="3" t="s">
        <v>17</v>
      </c>
      <c r="H9" s="3" t="s">
        <v>18</v>
      </c>
      <c r="I9" s="3" t="s">
        <v>54</v>
      </c>
      <c r="J9" s="4" t="s">
        <v>55</v>
      </c>
    </row>
  </sheetData>
  <mergeCells count="1">
    <mergeCell ref="A1:J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6"/>
  <sheetViews>
    <sheetView zoomScale="75" zoomScaleNormal="70" workbookViewId="0">
      <pane ySplit="7" topLeftCell="A10" activePane="bottomLeft" state="frozen"/>
      <selection pane="bottomLeft" activeCell="G11" sqref="G11"/>
    </sheetView>
  </sheetViews>
  <sheetFormatPr defaultColWidth="8.6640625" defaultRowHeight="14.4" x14ac:dyDescent="0.3"/>
  <cols>
    <col min="1" max="1" width="10" style="1" customWidth="1"/>
    <col min="2" max="3" width="12" style="1" customWidth="1"/>
    <col min="4" max="4" width="10.88671875" style="1" customWidth="1"/>
    <col min="5" max="5" width="25.6640625" style="1" customWidth="1"/>
    <col min="6" max="6" width="24.44140625" style="1" customWidth="1"/>
    <col min="7" max="7" width="28" style="1" customWidth="1"/>
    <col min="8" max="8" width="33.109375" style="1" customWidth="1"/>
    <col min="9" max="9" width="29.5546875" style="1" customWidth="1"/>
    <col min="10" max="10" width="14.6640625" style="1" customWidth="1"/>
    <col min="11" max="11" width="9.33203125" style="1" customWidth="1"/>
    <col min="12" max="12" width="13" style="1" customWidth="1"/>
    <col min="13" max="13" width="15.6640625" style="1" bestFit="1" customWidth="1"/>
    <col min="14" max="14" width="13.109375" style="1" customWidth="1"/>
    <col min="15" max="15" width="11" style="1" customWidth="1"/>
    <col min="16" max="16" width="9.109375" style="1" customWidth="1"/>
    <col min="17" max="17" width="12.5546875" style="1" customWidth="1"/>
  </cols>
  <sheetData>
    <row r="1" spans="1:17" ht="30" customHeight="1" x14ac:dyDescent="0.3">
      <c r="A1" s="76" t="s">
        <v>56</v>
      </c>
      <c r="B1" s="77"/>
      <c r="C1" s="77"/>
      <c r="D1" s="77"/>
      <c r="E1" s="77"/>
      <c r="F1" s="77"/>
      <c r="G1" s="77"/>
      <c r="H1" s="77"/>
      <c r="I1" s="77"/>
      <c r="J1" s="77"/>
      <c r="K1" s="77"/>
      <c r="L1" s="77"/>
      <c r="M1" s="77"/>
    </row>
    <row r="2" spans="1:17" ht="15" customHeight="1" x14ac:dyDescent="0.3">
      <c r="A2" s="80" t="s">
        <v>57</v>
      </c>
      <c r="B2" s="79"/>
      <c r="C2" s="79"/>
      <c r="D2" s="79"/>
      <c r="E2" s="79"/>
      <c r="G2" s="80" t="s">
        <v>58</v>
      </c>
      <c r="H2" s="79"/>
      <c r="I2" s="79"/>
      <c r="J2" s="79"/>
      <c r="K2" s="79"/>
    </row>
    <row r="3" spans="1:17" ht="15" customHeight="1" x14ac:dyDescent="0.3">
      <c r="A3" s="81" t="s">
        <v>59</v>
      </c>
      <c r="B3" s="79"/>
      <c r="C3" s="79"/>
      <c r="D3" s="79"/>
      <c r="E3" s="7">
        <f>COUNTA(A8:A998)</f>
        <v>39</v>
      </c>
      <c r="G3" s="81" t="s">
        <v>59</v>
      </c>
      <c r="H3" s="79"/>
      <c r="I3" s="79"/>
      <c r="J3" s="79"/>
      <c r="K3" s="7">
        <f>COUNTA(A8:A998)</f>
        <v>39</v>
      </c>
    </row>
    <row r="4" spans="1:17" ht="15" customHeight="1" x14ac:dyDescent="0.3">
      <c r="A4" s="78" t="s">
        <v>60</v>
      </c>
      <c r="B4" s="79"/>
      <c r="C4" s="79"/>
      <c r="D4" s="79"/>
      <c r="E4" s="7">
        <f>COUNTIF(D8:D998,"InDraft")</f>
        <v>0</v>
      </c>
      <c r="G4" s="78" t="s">
        <v>61</v>
      </c>
      <c r="H4" s="79"/>
      <c r="I4" s="79"/>
      <c r="J4" s="79"/>
      <c r="K4" s="7">
        <f>COUNTIF(L8:L998,"&lt;&gt;Not Executed")</f>
        <v>991</v>
      </c>
    </row>
    <row r="5" spans="1:17" ht="15" customHeight="1" x14ac:dyDescent="0.3">
      <c r="A5" s="78" t="s">
        <v>62</v>
      </c>
      <c r="B5" s="79"/>
      <c r="C5" s="79"/>
      <c r="D5" s="79"/>
      <c r="E5" s="7">
        <f>COUNTIF(D8:D998,"PendingReview")</f>
        <v>0</v>
      </c>
      <c r="G5" s="78" t="s">
        <v>63</v>
      </c>
      <c r="H5" s="79"/>
      <c r="I5" s="79"/>
      <c r="J5" s="79"/>
      <c r="K5" s="7">
        <f>COUNTIF(L8:L998,"Passed")</f>
        <v>31</v>
      </c>
    </row>
    <row r="6" spans="1:17" ht="15" customHeight="1" x14ac:dyDescent="0.3">
      <c r="A6" s="78" t="s">
        <v>64</v>
      </c>
      <c r="B6" s="79"/>
      <c r="C6" s="79"/>
      <c r="D6" s="79"/>
      <c r="E6" s="7">
        <f>COUNTIF(D8:D998,"Test Ready")</f>
        <v>32</v>
      </c>
      <c r="G6" s="78" t="s">
        <v>65</v>
      </c>
      <c r="H6" s="79"/>
      <c r="I6" s="79"/>
      <c r="J6" s="79"/>
      <c r="K6" s="7">
        <f>COUNTIF(L8:L998,"Failed")</f>
        <v>1</v>
      </c>
    </row>
    <row r="7" spans="1:17" ht="39.6" x14ac:dyDescent="0.3">
      <c r="A7" s="2" t="s">
        <v>66</v>
      </c>
      <c r="B7" s="2" t="s">
        <v>67</v>
      </c>
      <c r="C7" s="62" t="s">
        <v>68</v>
      </c>
      <c r="D7" s="2" t="s">
        <v>69</v>
      </c>
      <c r="E7" s="2" t="s">
        <v>70</v>
      </c>
      <c r="F7" s="2" t="s">
        <v>71</v>
      </c>
      <c r="G7" s="2" t="s">
        <v>72</v>
      </c>
      <c r="H7" s="8" t="s">
        <v>73</v>
      </c>
      <c r="I7" s="2" t="s">
        <v>74</v>
      </c>
      <c r="J7" s="62" t="s">
        <v>75</v>
      </c>
      <c r="K7" s="2" t="s">
        <v>76</v>
      </c>
      <c r="L7" s="2" t="s">
        <v>8</v>
      </c>
      <c r="M7" s="2" t="s">
        <v>77</v>
      </c>
      <c r="N7" s="9" t="s">
        <v>78</v>
      </c>
      <c r="O7" s="10" t="s">
        <v>79</v>
      </c>
      <c r="P7" s="10" t="s">
        <v>80</v>
      </c>
      <c r="Q7" s="10" t="s">
        <v>81</v>
      </c>
    </row>
    <row r="8" spans="1:17" ht="21.75" customHeight="1" x14ac:dyDescent="0.3">
      <c r="A8" s="88" t="s">
        <v>836</v>
      </c>
      <c r="B8" s="89"/>
      <c r="C8" s="89"/>
      <c r="D8" s="89"/>
      <c r="E8" s="89"/>
      <c r="F8" s="89"/>
      <c r="G8" s="89"/>
      <c r="H8" s="89"/>
      <c r="I8" s="89"/>
      <c r="J8" s="89"/>
      <c r="K8" s="89"/>
      <c r="L8" s="89"/>
      <c r="M8" s="89"/>
      <c r="N8" s="89"/>
      <c r="O8" s="89"/>
      <c r="P8" s="89"/>
      <c r="Q8" s="90"/>
    </row>
    <row r="9" spans="1:17" ht="87.6" customHeight="1" x14ac:dyDescent="0.3">
      <c r="A9" s="11">
        <v>1</v>
      </c>
      <c r="B9" s="11">
        <v>1</v>
      </c>
      <c r="C9" s="12" t="s">
        <v>82</v>
      </c>
      <c r="D9" s="13" t="s">
        <v>17</v>
      </c>
      <c r="E9" s="14" t="s">
        <v>83</v>
      </c>
      <c r="F9" s="14" t="s">
        <v>84</v>
      </c>
      <c r="G9" s="50" t="s">
        <v>85</v>
      </c>
      <c r="H9" s="51" t="s">
        <v>86</v>
      </c>
      <c r="I9" s="51" t="s">
        <v>837</v>
      </c>
      <c r="J9" s="14" t="s">
        <v>87</v>
      </c>
      <c r="K9" s="14"/>
      <c r="L9" s="15" t="s">
        <v>88</v>
      </c>
      <c r="M9" s="11" t="s">
        <v>89</v>
      </c>
      <c r="N9" s="11"/>
      <c r="O9" s="11" t="s">
        <v>89</v>
      </c>
      <c r="P9" s="11" t="s">
        <v>89</v>
      </c>
      <c r="Q9" s="11" t="s">
        <v>90</v>
      </c>
    </row>
    <row r="10" spans="1:17" ht="69.75" customHeight="1" x14ac:dyDescent="0.3">
      <c r="A10" s="15">
        <f>A9+1</f>
        <v>2</v>
      </c>
      <c r="B10" s="15">
        <v>1</v>
      </c>
      <c r="C10" s="12" t="s">
        <v>82</v>
      </c>
      <c r="D10" s="49" t="s">
        <v>17</v>
      </c>
      <c r="E10" s="16" t="s">
        <v>91</v>
      </c>
      <c r="F10" s="52" t="s">
        <v>92</v>
      </c>
      <c r="G10" s="15" t="s">
        <v>93</v>
      </c>
      <c r="H10" s="52" t="s">
        <v>94</v>
      </c>
      <c r="I10" s="52" t="s">
        <v>95</v>
      </c>
      <c r="J10" s="16"/>
      <c r="K10" s="16"/>
      <c r="L10" s="15" t="s">
        <v>88</v>
      </c>
      <c r="M10" s="15" t="s">
        <v>89</v>
      </c>
      <c r="N10" s="15"/>
      <c r="O10" s="15" t="s">
        <v>89</v>
      </c>
      <c r="P10" s="15" t="s">
        <v>89</v>
      </c>
      <c r="Q10" s="15" t="s">
        <v>90</v>
      </c>
    </row>
    <row r="11" spans="1:17" ht="69.75" customHeight="1" x14ac:dyDescent="0.3">
      <c r="A11" s="15">
        <f>A10+1</f>
        <v>3</v>
      </c>
      <c r="B11" s="11">
        <v>1</v>
      </c>
      <c r="C11" s="17" t="s">
        <v>96</v>
      </c>
      <c r="D11" s="13" t="s">
        <v>17</v>
      </c>
      <c r="E11" s="14" t="s">
        <v>97</v>
      </c>
      <c r="F11" s="14" t="s">
        <v>98</v>
      </c>
      <c r="G11" s="50" t="s">
        <v>99</v>
      </c>
      <c r="H11" s="14" t="s">
        <v>100</v>
      </c>
      <c r="I11" s="51" t="s">
        <v>101</v>
      </c>
      <c r="J11" s="14"/>
      <c r="K11" s="14"/>
      <c r="L11" s="15" t="s">
        <v>88</v>
      </c>
      <c r="M11" s="50" t="s">
        <v>89</v>
      </c>
      <c r="N11" s="75"/>
      <c r="O11" s="11" t="s">
        <v>89</v>
      </c>
      <c r="P11" s="11" t="s">
        <v>89</v>
      </c>
      <c r="Q11" s="11" t="s">
        <v>90</v>
      </c>
    </row>
    <row r="12" spans="1:17" ht="69.75" customHeight="1" x14ac:dyDescent="0.3">
      <c r="A12" s="15">
        <f>A11+1</f>
        <v>4</v>
      </c>
      <c r="B12" s="15">
        <v>1</v>
      </c>
      <c r="C12" s="18" t="s">
        <v>102</v>
      </c>
      <c r="D12" s="13" t="s">
        <v>17</v>
      </c>
      <c r="E12" s="16" t="s">
        <v>103</v>
      </c>
      <c r="F12" s="16" t="s">
        <v>104</v>
      </c>
      <c r="G12" s="15" t="s">
        <v>105</v>
      </c>
      <c r="H12" s="16" t="s">
        <v>106</v>
      </c>
      <c r="I12" s="52" t="s">
        <v>107</v>
      </c>
      <c r="J12" s="16"/>
      <c r="K12" s="16"/>
      <c r="L12" s="15" t="s">
        <v>88</v>
      </c>
      <c r="M12" s="15" t="s">
        <v>89</v>
      </c>
      <c r="N12" s="15"/>
      <c r="O12" s="15" t="s">
        <v>89</v>
      </c>
      <c r="P12" s="15" t="s">
        <v>89</v>
      </c>
      <c r="Q12" s="15" t="s">
        <v>90</v>
      </c>
    </row>
    <row r="13" spans="1:17" ht="69.75" customHeight="1" x14ac:dyDescent="0.3">
      <c r="A13" s="15">
        <f>A12+1</f>
        <v>5</v>
      </c>
      <c r="B13" s="11">
        <v>1</v>
      </c>
      <c r="C13" s="17" t="s">
        <v>96</v>
      </c>
      <c r="D13" s="13" t="s">
        <v>17</v>
      </c>
      <c r="E13" s="14" t="s">
        <v>108</v>
      </c>
      <c r="F13" s="14" t="s">
        <v>98</v>
      </c>
      <c r="G13" s="11" t="s">
        <v>109</v>
      </c>
      <c r="H13" s="14" t="s">
        <v>110</v>
      </c>
      <c r="I13" s="14" t="s">
        <v>111</v>
      </c>
      <c r="J13" s="14"/>
      <c r="K13" s="14"/>
      <c r="L13" s="53" t="s">
        <v>88</v>
      </c>
      <c r="M13" s="11" t="s">
        <v>89</v>
      </c>
      <c r="N13" s="11"/>
      <c r="O13" s="11" t="s">
        <v>89</v>
      </c>
      <c r="P13" s="11" t="s">
        <v>89</v>
      </c>
      <c r="Q13" s="11" t="s">
        <v>90</v>
      </c>
    </row>
    <row r="14" spans="1:17" ht="69.75" customHeight="1" x14ac:dyDescent="0.3">
      <c r="A14" s="15">
        <f>A13+1</f>
        <v>6</v>
      </c>
      <c r="B14" s="15">
        <v>1</v>
      </c>
      <c r="C14" s="18" t="s">
        <v>102</v>
      </c>
      <c r="D14" s="13" t="s">
        <v>17</v>
      </c>
      <c r="E14" s="16" t="s">
        <v>112</v>
      </c>
      <c r="F14" s="16" t="s">
        <v>113</v>
      </c>
      <c r="G14" s="53" t="s">
        <v>114</v>
      </c>
      <c r="H14" s="16" t="s">
        <v>115</v>
      </c>
      <c r="I14" s="16" t="s">
        <v>116</v>
      </c>
      <c r="J14" s="16"/>
      <c r="K14" s="16"/>
      <c r="L14" s="15" t="s">
        <v>88</v>
      </c>
      <c r="M14" s="15" t="s">
        <v>89</v>
      </c>
      <c r="N14" s="15"/>
      <c r="O14" s="15" t="s">
        <v>89</v>
      </c>
      <c r="P14" s="15" t="s">
        <v>89</v>
      </c>
      <c r="Q14" s="15" t="s">
        <v>90</v>
      </c>
    </row>
    <row r="15" spans="1:17" ht="21.75" customHeight="1" x14ac:dyDescent="0.3">
      <c r="A15" s="91" t="s">
        <v>838</v>
      </c>
      <c r="B15" s="89"/>
      <c r="C15" s="89"/>
      <c r="D15" s="89"/>
      <c r="E15" s="89"/>
      <c r="F15" s="89"/>
      <c r="G15" s="89"/>
      <c r="H15" s="89"/>
      <c r="I15" s="89"/>
      <c r="J15" s="89"/>
      <c r="K15" s="89"/>
      <c r="L15" s="89"/>
      <c r="M15" s="89"/>
      <c r="N15" s="89"/>
      <c r="O15" s="89"/>
      <c r="P15" s="89"/>
      <c r="Q15" s="90"/>
    </row>
    <row r="16" spans="1:17" ht="69.75" customHeight="1" x14ac:dyDescent="0.3">
      <c r="A16" s="11">
        <f>A14+1</f>
        <v>7</v>
      </c>
      <c r="B16" s="11">
        <v>2</v>
      </c>
      <c r="C16" s="12" t="s">
        <v>82</v>
      </c>
      <c r="D16" s="13" t="s">
        <v>17</v>
      </c>
      <c r="E16" s="14" t="s">
        <v>23</v>
      </c>
      <c r="F16" s="14" t="s">
        <v>117</v>
      </c>
      <c r="G16" s="50" t="s">
        <v>118</v>
      </c>
      <c r="H16" s="51" t="s">
        <v>119</v>
      </c>
      <c r="I16" s="14" t="s">
        <v>839</v>
      </c>
      <c r="J16" s="14"/>
      <c r="K16" s="14"/>
      <c r="L16" s="53" t="s">
        <v>88</v>
      </c>
      <c r="M16" s="11" t="s">
        <v>89</v>
      </c>
      <c r="N16" s="11"/>
      <c r="O16" s="11" t="s">
        <v>89</v>
      </c>
      <c r="P16" s="11" t="s">
        <v>89</v>
      </c>
      <c r="Q16" s="11" t="s">
        <v>90</v>
      </c>
    </row>
    <row r="17" spans="1:17" ht="69.75" customHeight="1" x14ac:dyDescent="0.3">
      <c r="A17" s="15">
        <f t="shared" ref="A17:A23" si="0">A16+1</f>
        <v>8</v>
      </c>
      <c r="B17" s="15">
        <v>2</v>
      </c>
      <c r="C17" s="18" t="s">
        <v>102</v>
      </c>
      <c r="D17" s="13" t="s">
        <v>17</v>
      </c>
      <c r="E17" s="16" t="s">
        <v>120</v>
      </c>
      <c r="F17" s="16" t="s">
        <v>117</v>
      </c>
      <c r="G17" s="15" t="s">
        <v>121</v>
      </c>
      <c r="H17" s="16" t="s">
        <v>122</v>
      </c>
      <c r="I17" s="16" t="s">
        <v>840</v>
      </c>
      <c r="J17" s="16"/>
      <c r="K17" s="16"/>
      <c r="L17" s="15" t="s">
        <v>88</v>
      </c>
      <c r="M17" s="15" t="s">
        <v>89</v>
      </c>
      <c r="N17" s="15"/>
      <c r="O17" s="15" t="s">
        <v>89</v>
      </c>
      <c r="P17" s="15" t="s">
        <v>89</v>
      </c>
      <c r="Q17" s="15" t="s">
        <v>90</v>
      </c>
    </row>
    <row r="18" spans="1:17" ht="69.75" customHeight="1" x14ac:dyDescent="0.3">
      <c r="A18" s="15">
        <f t="shared" si="0"/>
        <v>9</v>
      </c>
      <c r="B18" s="11">
        <v>2</v>
      </c>
      <c r="C18" s="19" t="s">
        <v>123</v>
      </c>
      <c r="D18" s="13" t="s">
        <v>17</v>
      </c>
      <c r="E18" s="51" t="s">
        <v>124</v>
      </c>
      <c r="F18" s="14" t="s">
        <v>117</v>
      </c>
      <c r="G18" s="11" t="s">
        <v>125</v>
      </c>
      <c r="H18" s="51" t="s">
        <v>126</v>
      </c>
      <c r="I18" s="14" t="s">
        <v>841</v>
      </c>
      <c r="J18" s="14"/>
      <c r="K18" s="14"/>
      <c r="L18" s="15" t="s">
        <v>88</v>
      </c>
      <c r="M18" s="11" t="s">
        <v>89</v>
      </c>
      <c r="N18" s="11"/>
      <c r="O18" s="11" t="s">
        <v>89</v>
      </c>
      <c r="P18" s="11" t="s">
        <v>89</v>
      </c>
      <c r="Q18" s="11" t="s">
        <v>90</v>
      </c>
    </row>
    <row r="19" spans="1:17" ht="69.75" customHeight="1" x14ac:dyDescent="0.3">
      <c r="A19" s="15">
        <f t="shared" si="0"/>
        <v>10</v>
      </c>
      <c r="B19" s="15">
        <v>2</v>
      </c>
      <c r="C19" s="19" t="s">
        <v>123</v>
      </c>
      <c r="D19" s="13" t="s">
        <v>17</v>
      </c>
      <c r="E19" s="16" t="s">
        <v>127</v>
      </c>
      <c r="F19" s="16" t="s">
        <v>117</v>
      </c>
      <c r="G19" s="53" t="s">
        <v>128</v>
      </c>
      <c r="H19" s="16" t="s">
        <v>129</v>
      </c>
      <c r="I19" s="54" t="s">
        <v>842</v>
      </c>
      <c r="J19" s="16"/>
      <c r="K19" s="16"/>
      <c r="L19" s="15" t="s">
        <v>88</v>
      </c>
      <c r="M19" s="15" t="s">
        <v>89</v>
      </c>
      <c r="N19" s="15"/>
      <c r="O19" s="15" t="s">
        <v>89</v>
      </c>
      <c r="P19" s="15" t="s">
        <v>89</v>
      </c>
      <c r="Q19" s="15" t="s">
        <v>90</v>
      </c>
    </row>
    <row r="20" spans="1:17" ht="69.75" customHeight="1" x14ac:dyDescent="0.3">
      <c r="A20" s="15">
        <f t="shared" si="0"/>
        <v>11</v>
      </c>
      <c r="B20" s="11">
        <v>2</v>
      </c>
      <c r="C20" s="17" t="s">
        <v>96</v>
      </c>
      <c r="D20" s="13" t="s">
        <v>17</v>
      </c>
      <c r="E20" s="14" t="s">
        <v>843</v>
      </c>
      <c r="F20" s="14" t="s">
        <v>844</v>
      </c>
      <c r="G20" s="50" t="s">
        <v>130</v>
      </c>
      <c r="H20" s="14" t="s">
        <v>131</v>
      </c>
      <c r="I20" s="14" t="s">
        <v>845</v>
      </c>
      <c r="J20" s="14"/>
      <c r="K20" s="14"/>
      <c r="L20" s="15" t="s">
        <v>88</v>
      </c>
      <c r="M20" s="11" t="s">
        <v>89</v>
      </c>
      <c r="N20" s="11"/>
      <c r="O20" s="11" t="s">
        <v>89</v>
      </c>
      <c r="P20" s="11" t="s">
        <v>89</v>
      </c>
      <c r="Q20" s="11" t="s">
        <v>90</v>
      </c>
    </row>
    <row r="21" spans="1:17" ht="69.75" customHeight="1" x14ac:dyDescent="0.3">
      <c r="A21" s="15">
        <f t="shared" si="0"/>
        <v>12</v>
      </c>
      <c r="B21" s="15">
        <v>2</v>
      </c>
      <c r="C21" s="17" t="s">
        <v>96</v>
      </c>
      <c r="D21" s="13" t="s">
        <v>17</v>
      </c>
      <c r="E21" s="16" t="s">
        <v>846</v>
      </c>
      <c r="F21" s="52" t="s">
        <v>844</v>
      </c>
      <c r="G21" s="15" t="s">
        <v>132</v>
      </c>
      <c r="H21" s="16" t="s">
        <v>133</v>
      </c>
      <c r="I21" s="16" t="s">
        <v>847</v>
      </c>
      <c r="J21" s="16"/>
      <c r="K21" s="16"/>
      <c r="L21" s="15" t="s">
        <v>88</v>
      </c>
      <c r="M21" s="15" t="s">
        <v>89</v>
      </c>
      <c r="N21" s="15"/>
      <c r="O21" s="15" t="s">
        <v>89</v>
      </c>
      <c r="P21" s="15" t="s">
        <v>89</v>
      </c>
      <c r="Q21" s="15" t="s">
        <v>90</v>
      </c>
    </row>
    <row r="22" spans="1:17" ht="69.75" customHeight="1" x14ac:dyDescent="0.3">
      <c r="A22" s="15">
        <f t="shared" si="0"/>
        <v>13</v>
      </c>
      <c r="B22" s="15">
        <v>2</v>
      </c>
      <c r="C22" s="55" t="s">
        <v>96</v>
      </c>
      <c r="D22" s="13" t="s">
        <v>17</v>
      </c>
      <c r="E22" s="52" t="s">
        <v>134</v>
      </c>
      <c r="F22" s="14" t="s">
        <v>117</v>
      </c>
      <c r="G22" s="53" t="s">
        <v>135</v>
      </c>
      <c r="H22" s="52" t="s">
        <v>136</v>
      </c>
      <c r="I22" s="52" t="s">
        <v>137</v>
      </c>
      <c r="J22" s="16"/>
      <c r="K22" s="16"/>
      <c r="L22" s="15" t="s">
        <v>88</v>
      </c>
      <c r="M22" s="15" t="s">
        <v>89</v>
      </c>
      <c r="N22" s="15"/>
      <c r="O22" s="15" t="s">
        <v>89</v>
      </c>
      <c r="P22" s="15" t="s">
        <v>89</v>
      </c>
      <c r="Q22" s="15" t="s">
        <v>90</v>
      </c>
    </row>
    <row r="23" spans="1:17" ht="69.75" customHeight="1" x14ac:dyDescent="0.3">
      <c r="A23" s="15">
        <f t="shared" si="0"/>
        <v>14</v>
      </c>
      <c r="B23" s="11">
        <v>2</v>
      </c>
      <c r="C23" s="18" t="s">
        <v>102</v>
      </c>
      <c r="D23" s="13" t="s">
        <v>17</v>
      </c>
      <c r="E23" s="14" t="s">
        <v>138</v>
      </c>
      <c r="F23" s="14" t="s">
        <v>139</v>
      </c>
      <c r="G23" s="11" t="s">
        <v>140</v>
      </c>
      <c r="H23" s="14" t="s">
        <v>141</v>
      </c>
      <c r="I23" s="14" t="s">
        <v>142</v>
      </c>
      <c r="J23" s="14"/>
      <c r="K23" s="14"/>
      <c r="L23" s="15" t="s">
        <v>88</v>
      </c>
      <c r="M23" s="11" t="s">
        <v>89</v>
      </c>
      <c r="N23" s="11"/>
      <c r="O23" s="11" t="s">
        <v>89</v>
      </c>
      <c r="P23" s="11" t="s">
        <v>89</v>
      </c>
      <c r="Q23" s="11" t="s">
        <v>90</v>
      </c>
    </row>
    <row r="24" spans="1:17" ht="21.75" customHeight="1" x14ac:dyDescent="0.3">
      <c r="A24" s="91" t="s">
        <v>848</v>
      </c>
      <c r="B24" s="89"/>
      <c r="C24" s="89"/>
      <c r="D24" s="89"/>
      <c r="E24" s="89"/>
      <c r="F24" s="89"/>
      <c r="G24" s="89"/>
      <c r="H24" s="89"/>
      <c r="I24" s="89"/>
      <c r="J24" s="89"/>
      <c r="K24" s="89"/>
      <c r="L24" s="89"/>
      <c r="M24" s="89"/>
      <c r="N24" s="89"/>
      <c r="O24" s="89"/>
      <c r="P24" s="89"/>
      <c r="Q24" s="90"/>
    </row>
    <row r="25" spans="1:17" ht="69.75" customHeight="1" x14ac:dyDescent="0.3">
      <c r="A25" s="15">
        <f>A23+1</f>
        <v>15</v>
      </c>
      <c r="B25" s="15">
        <v>3</v>
      </c>
      <c r="C25" s="17" t="s">
        <v>96</v>
      </c>
      <c r="D25" s="13" t="s">
        <v>17</v>
      </c>
      <c r="E25" s="16" t="s">
        <v>143</v>
      </c>
      <c r="F25" s="16" t="s">
        <v>849</v>
      </c>
      <c r="G25" s="15" t="s">
        <v>140</v>
      </c>
      <c r="H25" s="16" t="s">
        <v>144</v>
      </c>
      <c r="I25" s="16" t="s">
        <v>145</v>
      </c>
      <c r="J25" s="16"/>
      <c r="K25" s="16"/>
      <c r="L25" s="15" t="s">
        <v>88</v>
      </c>
      <c r="M25" s="15" t="s">
        <v>89</v>
      </c>
      <c r="N25" s="15"/>
      <c r="O25" s="15" t="s">
        <v>89</v>
      </c>
      <c r="P25" s="15" t="s">
        <v>89</v>
      </c>
      <c r="Q25" s="15" t="s">
        <v>90</v>
      </c>
    </row>
    <row r="26" spans="1:17" ht="69.75" customHeight="1" x14ac:dyDescent="0.3">
      <c r="A26" s="15" t="e">
        <f>A24+1</f>
        <v>#VALUE!</v>
      </c>
      <c r="B26" s="11">
        <v>3</v>
      </c>
      <c r="C26" s="18" t="s">
        <v>102</v>
      </c>
      <c r="D26" s="13" t="s">
        <v>17</v>
      </c>
      <c r="E26" s="14" t="s">
        <v>146</v>
      </c>
      <c r="F26" s="14" t="s">
        <v>113</v>
      </c>
      <c r="G26" s="11" t="s">
        <v>140</v>
      </c>
      <c r="H26" s="14" t="s">
        <v>147</v>
      </c>
      <c r="I26" s="14" t="s">
        <v>148</v>
      </c>
      <c r="J26" s="14"/>
      <c r="K26" s="14"/>
      <c r="L26" s="15" t="s">
        <v>88</v>
      </c>
      <c r="M26" s="11" t="s">
        <v>89</v>
      </c>
      <c r="N26" s="11"/>
      <c r="O26" s="11" t="s">
        <v>89</v>
      </c>
      <c r="P26" s="11" t="s">
        <v>89</v>
      </c>
      <c r="Q26" s="11" t="s">
        <v>90</v>
      </c>
    </row>
    <row r="27" spans="1:17" ht="69.75" customHeight="1" x14ac:dyDescent="0.3">
      <c r="A27" s="15">
        <f>A25+1</f>
        <v>16</v>
      </c>
      <c r="B27" s="15">
        <v>3</v>
      </c>
      <c r="C27" s="18" t="s">
        <v>102</v>
      </c>
      <c r="D27" s="13" t="s">
        <v>17</v>
      </c>
      <c r="E27" s="16" t="s">
        <v>149</v>
      </c>
      <c r="F27" s="16" t="s">
        <v>150</v>
      </c>
      <c r="G27" s="15" t="s">
        <v>140</v>
      </c>
      <c r="H27" s="16" t="s">
        <v>151</v>
      </c>
      <c r="I27" s="16" t="s">
        <v>152</v>
      </c>
      <c r="J27" s="16"/>
      <c r="K27" s="16"/>
      <c r="L27" s="15" t="s">
        <v>88</v>
      </c>
      <c r="M27" s="15" t="s">
        <v>89</v>
      </c>
      <c r="N27" s="15"/>
      <c r="O27" s="15" t="s">
        <v>89</v>
      </c>
      <c r="P27" s="15" t="s">
        <v>89</v>
      </c>
      <c r="Q27" s="15" t="s">
        <v>90</v>
      </c>
    </row>
    <row r="28" spans="1:17" ht="21.75" customHeight="1" x14ac:dyDescent="0.3">
      <c r="A28" s="91" t="s">
        <v>850</v>
      </c>
      <c r="B28" s="89"/>
      <c r="C28" s="89"/>
      <c r="D28" s="89"/>
      <c r="E28" s="89"/>
      <c r="F28" s="89"/>
      <c r="G28" s="89"/>
      <c r="H28" s="89"/>
      <c r="I28" s="89"/>
      <c r="J28" s="89"/>
      <c r="K28" s="89"/>
      <c r="L28" s="89"/>
      <c r="M28" s="89"/>
      <c r="N28" s="89"/>
      <c r="O28" s="89"/>
      <c r="P28" s="89"/>
      <c r="Q28" s="90"/>
    </row>
    <row r="29" spans="1:17" ht="69.75" customHeight="1" x14ac:dyDescent="0.3">
      <c r="A29" s="11">
        <v>17</v>
      </c>
      <c r="B29" s="11">
        <v>4</v>
      </c>
      <c r="C29" s="12" t="s">
        <v>82</v>
      </c>
      <c r="D29" s="13" t="s">
        <v>17</v>
      </c>
      <c r="E29" s="14" t="s">
        <v>33</v>
      </c>
      <c r="F29" s="14" t="s">
        <v>153</v>
      </c>
      <c r="G29" s="50" t="s">
        <v>154</v>
      </c>
      <c r="H29" s="14" t="s">
        <v>155</v>
      </c>
      <c r="I29" s="14" t="s">
        <v>156</v>
      </c>
      <c r="J29" s="14"/>
      <c r="K29" s="14"/>
      <c r="L29" s="15" t="s">
        <v>88</v>
      </c>
      <c r="M29" s="11" t="s">
        <v>89</v>
      </c>
      <c r="N29" s="11"/>
      <c r="O29" s="11" t="s">
        <v>89</v>
      </c>
      <c r="P29" s="11" t="s">
        <v>89</v>
      </c>
      <c r="Q29" s="11" t="s">
        <v>90</v>
      </c>
    </row>
    <row r="30" spans="1:17" ht="69.75" customHeight="1" x14ac:dyDescent="0.3">
      <c r="A30" s="15">
        <v>18</v>
      </c>
      <c r="B30" s="15">
        <v>4</v>
      </c>
      <c r="C30" s="12" t="s">
        <v>82</v>
      </c>
      <c r="D30" s="13" t="s">
        <v>17</v>
      </c>
      <c r="E30" s="16" t="s">
        <v>157</v>
      </c>
      <c r="F30" s="16" t="s">
        <v>158</v>
      </c>
      <c r="G30" s="15" t="s">
        <v>140</v>
      </c>
      <c r="H30" s="16" t="s">
        <v>159</v>
      </c>
      <c r="I30" s="16" t="s">
        <v>160</v>
      </c>
      <c r="J30" s="16"/>
      <c r="K30" s="16"/>
      <c r="L30" s="15" t="s">
        <v>88</v>
      </c>
      <c r="M30" s="15" t="s">
        <v>89</v>
      </c>
      <c r="N30" s="15"/>
      <c r="O30" s="15" t="s">
        <v>89</v>
      </c>
      <c r="P30" s="15" t="s">
        <v>89</v>
      </c>
      <c r="Q30" s="15" t="s">
        <v>90</v>
      </c>
    </row>
    <row r="31" spans="1:17" ht="69.75" customHeight="1" x14ac:dyDescent="0.3">
      <c r="A31" s="11">
        <v>19</v>
      </c>
      <c r="B31" s="11">
        <v>4</v>
      </c>
      <c r="C31" s="12" t="s">
        <v>82</v>
      </c>
      <c r="D31" s="13" t="s">
        <v>17</v>
      </c>
      <c r="E31" s="14" t="s">
        <v>161</v>
      </c>
      <c r="F31" s="14" t="s">
        <v>158</v>
      </c>
      <c r="G31" s="11" t="s">
        <v>162</v>
      </c>
      <c r="H31" s="14" t="s">
        <v>163</v>
      </c>
      <c r="I31" s="14" t="s">
        <v>164</v>
      </c>
      <c r="J31" s="14"/>
      <c r="K31" s="14"/>
      <c r="L31" s="15" t="s">
        <v>88</v>
      </c>
      <c r="M31" s="11" t="s">
        <v>89</v>
      </c>
      <c r="N31" s="11"/>
      <c r="O31" s="11" t="s">
        <v>89</v>
      </c>
      <c r="P31" s="11" t="s">
        <v>89</v>
      </c>
      <c r="Q31" s="11" t="s">
        <v>90</v>
      </c>
    </row>
    <row r="32" spans="1:17" ht="69.75" customHeight="1" x14ac:dyDescent="0.3">
      <c r="A32" s="15">
        <v>20</v>
      </c>
      <c r="B32" s="15">
        <v>4</v>
      </c>
      <c r="C32" s="12" t="s">
        <v>82</v>
      </c>
      <c r="D32" s="13" t="s">
        <v>17</v>
      </c>
      <c r="E32" s="16" t="s">
        <v>165</v>
      </c>
      <c r="F32" s="16" t="s">
        <v>851</v>
      </c>
      <c r="G32" s="15" t="s">
        <v>166</v>
      </c>
      <c r="H32" s="16" t="s">
        <v>167</v>
      </c>
      <c r="I32" s="16" t="s">
        <v>168</v>
      </c>
      <c r="J32" s="16"/>
      <c r="K32" s="16"/>
      <c r="L32" s="15" t="s">
        <v>88</v>
      </c>
      <c r="M32" s="15" t="s">
        <v>89</v>
      </c>
      <c r="N32" s="15"/>
      <c r="O32" s="15" t="s">
        <v>89</v>
      </c>
      <c r="P32" s="15" t="s">
        <v>89</v>
      </c>
      <c r="Q32" s="15" t="s">
        <v>90</v>
      </c>
    </row>
    <row r="33" spans="1:17" ht="69.75" customHeight="1" x14ac:dyDescent="0.3">
      <c r="A33" s="11">
        <v>21</v>
      </c>
      <c r="B33" s="11">
        <v>4</v>
      </c>
      <c r="C33" s="17" t="s">
        <v>96</v>
      </c>
      <c r="D33" s="13" t="s">
        <v>17</v>
      </c>
      <c r="E33" s="14" t="s">
        <v>852</v>
      </c>
      <c r="F33" s="14" t="s">
        <v>169</v>
      </c>
      <c r="G33" s="11" t="s">
        <v>140</v>
      </c>
      <c r="H33" s="14" t="s">
        <v>170</v>
      </c>
      <c r="I33" s="14" t="s">
        <v>853</v>
      </c>
      <c r="J33" s="14"/>
      <c r="K33" s="14"/>
      <c r="L33" s="15" t="s">
        <v>88</v>
      </c>
      <c r="M33" s="11" t="s">
        <v>89</v>
      </c>
      <c r="N33" s="11"/>
      <c r="O33" s="11" t="s">
        <v>89</v>
      </c>
      <c r="P33" s="11" t="s">
        <v>89</v>
      </c>
      <c r="Q33" s="11" t="s">
        <v>90</v>
      </c>
    </row>
    <row r="34" spans="1:17" ht="69.75" customHeight="1" x14ac:dyDescent="0.3">
      <c r="A34" s="15">
        <v>22</v>
      </c>
      <c r="B34" s="15">
        <v>4</v>
      </c>
      <c r="C34" s="18" t="s">
        <v>102</v>
      </c>
      <c r="D34" s="13" t="s">
        <v>17</v>
      </c>
      <c r="E34" s="16" t="s">
        <v>171</v>
      </c>
      <c r="F34" s="16" t="s">
        <v>172</v>
      </c>
      <c r="G34" s="15" t="s">
        <v>140</v>
      </c>
      <c r="H34" s="16" t="s">
        <v>173</v>
      </c>
      <c r="I34" s="16" t="s">
        <v>174</v>
      </c>
      <c r="J34" s="16"/>
      <c r="K34" s="16"/>
      <c r="L34" s="15" t="s">
        <v>88</v>
      </c>
      <c r="M34" s="15" t="s">
        <v>89</v>
      </c>
      <c r="N34" s="15"/>
      <c r="O34" s="15" t="s">
        <v>89</v>
      </c>
      <c r="P34" s="15" t="s">
        <v>89</v>
      </c>
      <c r="Q34" s="15" t="s">
        <v>90</v>
      </c>
    </row>
    <row r="35" spans="1:17" ht="21.75" customHeight="1" x14ac:dyDescent="0.3">
      <c r="A35" s="91" t="s">
        <v>854</v>
      </c>
      <c r="B35" s="89"/>
      <c r="C35" s="89"/>
      <c r="D35" s="89"/>
      <c r="E35" s="89"/>
      <c r="F35" s="89"/>
      <c r="G35" s="89"/>
      <c r="H35" s="89"/>
      <c r="I35" s="89"/>
      <c r="J35" s="89"/>
      <c r="K35" s="89"/>
      <c r="L35" s="89"/>
      <c r="M35" s="89"/>
      <c r="N35" s="89"/>
      <c r="O35" s="89"/>
      <c r="P35" s="89"/>
      <c r="Q35" s="90"/>
    </row>
    <row r="36" spans="1:17" ht="69.75" customHeight="1" x14ac:dyDescent="0.3">
      <c r="A36" s="11">
        <v>23</v>
      </c>
      <c r="B36" s="11">
        <v>5</v>
      </c>
      <c r="C36" s="12" t="s">
        <v>82</v>
      </c>
      <c r="D36" s="13" t="s">
        <v>17</v>
      </c>
      <c r="E36" s="14" t="s">
        <v>175</v>
      </c>
      <c r="F36" s="14" t="s">
        <v>176</v>
      </c>
      <c r="G36" s="11" t="s">
        <v>140</v>
      </c>
      <c r="H36" s="14" t="s">
        <v>177</v>
      </c>
      <c r="I36" s="14" t="s">
        <v>178</v>
      </c>
      <c r="J36" s="14"/>
      <c r="K36" s="14"/>
      <c r="L36" s="15" t="s">
        <v>88</v>
      </c>
      <c r="M36" s="11" t="s">
        <v>89</v>
      </c>
      <c r="N36" s="11"/>
      <c r="O36" s="11" t="s">
        <v>89</v>
      </c>
      <c r="P36" s="11" t="s">
        <v>89</v>
      </c>
      <c r="Q36" s="11" t="s">
        <v>90</v>
      </c>
    </row>
    <row r="37" spans="1:17" ht="69.75" customHeight="1" x14ac:dyDescent="0.3">
      <c r="A37" s="15">
        <v>24</v>
      </c>
      <c r="B37" s="15">
        <v>5</v>
      </c>
      <c r="C37" s="12" t="s">
        <v>82</v>
      </c>
      <c r="D37" s="13" t="s">
        <v>17</v>
      </c>
      <c r="E37" s="16" t="s">
        <v>179</v>
      </c>
      <c r="F37" s="16" t="s">
        <v>180</v>
      </c>
      <c r="G37" s="15" t="s">
        <v>181</v>
      </c>
      <c r="H37" s="16" t="s">
        <v>182</v>
      </c>
      <c r="I37" s="16" t="s">
        <v>183</v>
      </c>
      <c r="J37" s="16"/>
      <c r="K37" s="16"/>
      <c r="L37" s="15" t="s">
        <v>88</v>
      </c>
      <c r="M37" s="15" t="s">
        <v>89</v>
      </c>
      <c r="N37" s="15"/>
      <c r="O37" s="15" t="s">
        <v>89</v>
      </c>
      <c r="P37" s="15" t="s">
        <v>89</v>
      </c>
      <c r="Q37" s="15" t="s">
        <v>90</v>
      </c>
    </row>
    <row r="38" spans="1:17" ht="69.75" customHeight="1" x14ac:dyDescent="0.3">
      <c r="A38" s="11">
        <v>25</v>
      </c>
      <c r="B38" s="11">
        <v>5</v>
      </c>
      <c r="C38" s="12" t="s">
        <v>82</v>
      </c>
      <c r="D38" s="13" t="s">
        <v>17</v>
      </c>
      <c r="E38" s="14" t="s">
        <v>184</v>
      </c>
      <c r="F38" s="14" t="s">
        <v>185</v>
      </c>
      <c r="G38" s="11" t="s">
        <v>186</v>
      </c>
      <c r="H38" s="14" t="s">
        <v>187</v>
      </c>
      <c r="I38" s="14" t="s">
        <v>188</v>
      </c>
      <c r="J38" s="14"/>
      <c r="K38" s="14"/>
      <c r="L38" s="15" t="s">
        <v>88</v>
      </c>
      <c r="M38" s="11" t="s">
        <v>89</v>
      </c>
      <c r="N38" s="11"/>
      <c r="O38" s="11" t="s">
        <v>89</v>
      </c>
      <c r="P38" s="11" t="s">
        <v>89</v>
      </c>
      <c r="Q38" s="11" t="s">
        <v>90</v>
      </c>
    </row>
    <row r="39" spans="1:17" ht="66" customHeight="1" x14ac:dyDescent="0.3">
      <c r="A39" s="15">
        <v>26</v>
      </c>
      <c r="B39" s="15">
        <v>5</v>
      </c>
      <c r="C39" s="12" t="s">
        <v>82</v>
      </c>
      <c r="D39" s="13" t="s">
        <v>17</v>
      </c>
      <c r="E39" s="16" t="s">
        <v>40</v>
      </c>
      <c r="F39" s="16" t="s">
        <v>189</v>
      </c>
      <c r="G39" s="15" t="s">
        <v>190</v>
      </c>
      <c r="H39" s="16" t="s">
        <v>191</v>
      </c>
      <c r="I39" s="16" t="s">
        <v>192</v>
      </c>
      <c r="J39" s="16"/>
      <c r="K39" s="16"/>
      <c r="L39" s="15" t="s">
        <v>88</v>
      </c>
      <c r="M39" s="15" t="s">
        <v>89</v>
      </c>
      <c r="N39" s="15"/>
      <c r="O39" s="15" t="s">
        <v>89</v>
      </c>
      <c r="P39" s="15" t="s">
        <v>89</v>
      </c>
      <c r="Q39" s="15" t="s">
        <v>90</v>
      </c>
    </row>
    <row r="40" spans="1:17" s="58" customFormat="1" ht="79.2" customHeight="1" x14ac:dyDescent="0.3">
      <c r="A40" s="64">
        <v>27</v>
      </c>
      <c r="B40" s="56">
        <v>5</v>
      </c>
      <c r="C40" s="60" t="s">
        <v>14</v>
      </c>
      <c r="D40" s="59" t="s">
        <v>17</v>
      </c>
      <c r="E40" s="57" t="s">
        <v>193</v>
      </c>
      <c r="F40" s="57" t="s">
        <v>194</v>
      </c>
      <c r="G40" s="61" t="s">
        <v>140</v>
      </c>
      <c r="H40" s="57" t="s">
        <v>195</v>
      </c>
      <c r="I40" s="57" t="s">
        <v>196</v>
      </c>
      <c r="J40" s="57" t="s">
        <v>197</v>
      </c>
      <c r="K40" s="57"/>
      <c r="L40" s="56" t="s">
        <v>198</v>
      </c>
      <c r="M40" s="15" t="s">
        <v>89</v>
      </c>
      <c r="N40" s="56"/>
      <c r="O40" s="15" t="s">
        <v>89</v>
      </c>
      <c r="P40" s="15" t="s">
        <v>89</v>
      </c>
      <c r="Q40" s="15" t="s">
        <v>90</v>
      </c>
    </row>
    <row r="41" spans="1:17" ht="66" customHeight="1" x14ac:dyDescent="0.3">
      <c r="A41" s="11">
        <v>28</v>
      </c>
      <c r="B41" s="15">
        <v>5</v>
      </c>
      <c r="C41" s="18" t="s">
        <v>102</v>
      </c>
      <c r="D41" s="13" t="s">
        <v>17</v>
      </c>
      <c r="E41" s="14" t="s">
        <v>199</v>
      </c>
      <c r="F41" s="14" t="s">
        <v>200</v>
      </c>
      <c r="G41" s="50" t="s">
        <v>140</v>
      </c>
      <c r="H41" s="14" t="s">
        <v>201</v>
      </c>
      <c r="I41" s="14" t="s">
        <v>855</v>
      </c>
      <c r="J41" s="14"/>
      <c r="K41" s="14"/>
      <c r="L41" s="15" t="s">
        <v>88</v>
      </c>
      <c r="M41" s="11" t="s">
        <v>89</v>
      </c>
      <c r="N41" s="11"/>
      <c r="O41" s="11" t="s">
        <v>89</v>
      </c>
      <c r="P41" s="11" t="s">
        <v>89</v>
      </c>
      <c r="Q41" s="11" t="s">
        <v>90</v>
      </c>
    </row>
    <row r="42" spans="1:17" ht="21.75" customHeight="1" x14ac:dyDescent="0.3">
      <c r="A42" s="91" t="s">
        <v>856</v>
      </c>
      <c r="B42" s="89"/>
      <c r="C42" s="89"/>
      <c r="D42" s="89"/>
      <c r="E42" s="89"/>
      <c r="F42" s="89"/>
      <c r="G42" s="89"/>
      <c r="H42" s="89"/>
      <c r="I42" s="89"/>
      <c r="J42" s="89"/>
      <c r="K42" s="89"/>
      <c r="L42" s="89"/>
      <c r="M42" s="89"/>
      <c r="N42" s="89"/>
      <c r="O42" s="89"/>
      <c r="P42" s="89"/>
      <c r="Q42" s="90"/>
    </row>
    <row r="43" spans="1:17" ht="66" customHeight="1" x14ac:dyDescent="0.3">
      <c r="A43" s="15">
        <v>28</v>
      </c>
      <c r="B43" s="15">
        <v>6</v>
      </c>
      <c r="C43" s="17" t="s">
        <v>96</v>
      </c>
      <c r="D43" s="13" t="s">
        <v>17</v>
      </c>
      <c r="E43" s="16" t="s">
        <v>48</v>
      </c>
      <c r="F43" s="16" t="s">
        <v>202</v>
      </c>
      <c r="G43" s="15" t="s">
        <v>140</v>
      </c>
      <c r="H43" s="16" t="s">
        <v>203</v>
      </c>
      <c r="I43" s="16" t="s">
        <v>204</v>
      </c>
      <c r="J43" s="16"/>
      <c r="K43" s="16"/>
      <c r="L43" s="15" t="s">
        <v>88</v>
      </c>
      <c r="M43" s="15" t="s">
        <v>89</v>
      </c>
      <c r="N43" s="15"/>
      <c r="O43" s="15" t="s">
        <v>89</v>
      </c>
      <c r="P43" s="15" t="s">
        <v>89</v>
      </c>
      <c r="Q43" s="15" t="s">
        <v>90</v>
      </c>
    </row>
    <row r="44" spans="1:17" ht="66" customHeight="1" x14ac:dyDescent="0.3">
      <c r="A44" s="11">
        <v>29</v>
      </c>
      <c r="B44" s="11">
        <v>6</v>
      </c>
      <c r="C44" s="18" t="s">
        <v>102</v>
      </c>
      <c r="D44" s="13" t="s">
        <v>17</v>
      </c>
      <c r="E44" s="14" t="s">
        <v>205</v>
      </c>
      <c r="F44" s="14" t="s">
        <v>206</v>
      </c>
      <c r="G44" s="11" t="s">
        <v>207</v>
      </c>
      <c r="H44" s="14" t="s">
        <v>208</v>
      </c>
      <c r="I44" s="14" t="s">
        <v>209</v>
      </c>
      <c r="J44" s="14"/>
      <c r="K44" s="14"/>
      <c r="L44" s="15" t="s">
        <v>88</v>
      </c>
      <c r="M44" s="11" t="s">
        <v>89</v>
      </c>
      <c r="N44" s="11"/>
      <c r="O44" s="11" t="s">
        <v>89</v>
      </c>
      <c r="P44" s="11" t="s">
        <v>89</v>
      </c>
      <c r="Q44" s="11" t="s">
        <v>90</v>
      </c>
    </row>
    <row r="45" spans="1:17" ht="21.75" customHeight="1" x14ac:dyDescent="0.3">
      <c r="A45" s="91" t="s">
        <v>857</v>
      </c>
      <c r="B45" s="89"/>
      <c r="C45" s="89"/>
      <c r="D45" s="89"/>
      <c r="E45" s="89"/>
      <c r="F45" s="89"/>
      <c r="G45" s="89"/>
      <c r="H45" s="89"/>
      <c r="I45" s="89"/>
      <c r="J45" s="89"/>
      <c r="K45" s="89"/>
      <c r="L45" s="89"/>
      <c r="M45" s="89"/>
      <c r="N45" s="89"/>
      <c r="O45" s="89"/>
      <c r="P45" s="89"/>
      <c r="Q45" s="90"/>
    </row>
    <row r="46" spans="1:17" ht="66" customHeight="1" x14ac:dyDescent="0.3">
      <c r="A46" s="15">
        <v>30</v>
      </c>
      <c r="B46" s="15">
        <v>7</v>
      </c>
      <c r="C46" s="17" t="s">
        <v>96</v>
      </c>
      <c r="D46" s="13" t="s">
        <v>17</v>
      </c>
      <c r="E46" s="16" t="s">
        <v>53</v>
      </c>
      <c r="F46" s="16" t="s">
        <v>210</v>
      </c>
      <c r="G46" s="15" t="s">
        <v>211</v>
      </c>
      <c r="H46" s="16" t="s">
        <v>212</v>
      </c>
      <c r="I46" s="16" t="s">
        <v>858</v>
      </c>
      <c r="J46" s="16"/>
      <c r="K46" s="16"/>
      <c r="L46" s="15" t="s">
        <v>88</v>
      </c>
      <c r="M46" s="15" t="s">
        <v>89</v>
      </c>
      <c r="N46" s="15"/>
      <c r="O46" s="15" t="s">
        <v>89</v>
      </c>
      <c r="P46" s="15" t="s">
        <v>89</v>
      </c>
      <c r="Q46" s="15" t="s">
        <v>90</v>
      </c>
    </row>
  </sheetData>
  <mergeCells count="18">
    <mergeCell ref="A1:M1"/>
    <mergeCell ref="A6:D6"/>
    <mergeCell ref="A2:E2"/>
    <mergeCell ref="G3:J3"/>
    <mergeCell ref="A4:D4"/>
    <mergeCell ref="G4:J4"/>
    <mergeCell ref="G2:K2"/>
    <mergeCell ref="A3:D3"/>
    <mergeCell ref="A24:Q24"/>
    <mergeCell ref="A15:Q15"/>
    <mergeCell ref="A8:Q8"/>
    <mergeCell ref="A5:D5"/>
    <mergeCell ref="G6:J6"/>
    <mergeCell ref="A42:Q42"/>
    <mergeCell ref="A28:Q28"/>
    <mergeCell ref="G5:J5"/>
    <mergeCell ref="A45:Q45"/>
    <mergeCell ref="A35:Q35"/>
  </mergeCells>
  <dataValidations count="3">
    <dataValidation type="list" allowBlank="1" sqref="D8:D998" xr:uid="{00000000-0002-0000-0100-000000000000}">
      <formula1>"InDraft,PendingReview,Test Ready"</formula1>
      <formula2>0</formula2>
    </dataValidation>
    <dataValidation type="list" allowBlank="1" sqref="L8:L998" xr:uid="{00000000-0002-0000-0100-000001000000}">
      <formula1>"Not Executed,Passed,Failed,Blocked"</formula1>
      <formula2>0</formula2>
    </dataValidation>
    <dataValidation type="list" allowBlank="1" sqref="C8:C998" xr:uid="{00000000-0002-0000-0100-000002000000}">
      <formula1>"P1,P2,P3"</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9"/>
  <sheetViews>
    <sheetView zoomScale="65" zoomScaleNormal="100" workbookViewId="0">
      <pane ySplit="3" topLeftCell="A4" activePane="bottomLeft" state="frozen"/>
      <selection activeCell="C1" sqref="C1"/>
      <selection pane="bottomLeft" activeCell="D20" sqref="D20"/>
    </sheetView>
  </sheetViews>
  <sheetFormatPr defaultColWidth="8.6640625" defaultRowHeight="14.4" x14ac:dyDescent="0.3"/>
  <cols>
    <col min="1" max="2" width="12" style="1" customWidth="1"/>
    <col min="3" max="3" width="38" style="1" customWidth="1"/>
    <col min="4" max="4" width="50" style="1" customWidth="1"/>
    <col min="5" max="5" width="12" style="1" customWidth="1"/>
    <col min="6" max="7" width="14" style="1" customWidth="1"/>
    <col min="8" max="8" width="24" style="1" customWidth="1"/>
    <col min="9" max="11" width="35" style="1" customWidth="1"/>
    <col min="12" max="12" width="10" style="1" customWidth="1"/>
    <col min="13" max="14" width="12" style="1" customWidth="1"/>
  </cols>
  <sheetData>
    <row r="1" spans="1:14" ht="30" customHeight="1" x14ac:dyDescent="0.3">
      <c r="A1" s="76" t="s">
        <v>213</v>
      </c>
      <c r="B1" s="77"/>
      <c r="C1" s="77"/>
      <c r="D1" s="77"/>
      <c r="E1" s="77"/>
      <c r="F1" s="77"/>
      <c r="G1" s="77"/>
      <c r="H1" s="77"/>
      <c r="I1" s="77"/>
      <c r="J1" s="77"/>
      <c r="K1" s="77"/>
      <c r="L1" s="77"/>
    </row>
    <row r="2" spans="1:14" ht="21.75" customHeight="1" x14ac:dyDescent="0.3">
      <c r="A2" s="20" t="s">
        <v>214</v>
      </c>
      <c r="B2" s="21">
        <f>COUNTIF(F3:F1000,"Critical")</f>
        <v>3</v>
      </c>
      <c r="C2" s="22" t="s">
        <v>215</v>
      </c>
      <c r="D2" s="23">
        <f>COUNTIF(F3:F1000,"High")</f>
        <v>6</v>
      </c>
      <c r="E2" s="24" t="s">
        <v>216</v>
      </c>
      <c r="F2" s="25">
        <f>COUNTIF(F3:F1000,"Medium")</f>
        <v>6</v>
      </c>
      <c r="G2" s="26" t="s">
        <v>217</v>
      </c>
      <c r="H2" s="27">
        <f>COUNTIF(F3:F1000,"Low")</f>
        <v>1</v>
      </c>
      <c r="I2" s="28" t="s">
        <v>218</v>
      </c>
      <c r="J2" s="29">
        <f>COUNTA(A3:A1000)</f>
        <v>17</v>
      </c>
    </row>
    <row r="3" spans="1:14" ht="34.5" customHeight="1" x14ac:dyDescent="0.3">
      <c r="A3" s="2" t="s">
        <v>219</v>
      </c>
      <c r="B3" s="2" t="s">
        <v>5</v>
      </c>
      <c r="C3" s="2" t="s">
        <v>220</v>
      </c>
      <c r="D3" s="2" t="s">
        <v>221</v>
      </c>
      <c r="E3" s="2" t="s">
        <v>222</v>
      </c>
      <c r="F3" s="2" t="s">
        <v>223</v>
      </c>
      <c r="G3" s="2" t="s">
        <v>78</v>
      </c>
      <c r="H3" s="2" t="s">
        <v>77</v>
      </c>
      <c r="I3" s="2" t="s">
        <v>224</v>
      </c>
      <c r="J3" s="2" t="s">
        <v>75</v>
      </c>
      <c r="K3" s="2" t="s">
        <v>74</v>
      </c>
      <c r="L3" s="2" t="s">
        <v>225</v>
      </c>
      <c r="M3" s="30" t="s">
        <v>4</v>
      </c>
      <c r="N3" s="30" t="s">
        <v>226</v>
      </c>
    </row>
    <row r="4" spans="1:14" ht="64.5" customHeight="1" x14ac:dyDescent="0.3">
      <c r="A4" s="11" t="s">
        <v>227</v>
      </c>
      <c r="B4" s="11" t="s">
        <v>22</v>
      </c>
      <c r="C4" s="14" t="s">
        <v>228</v>
      </c>
      <c r="D4" s="14" t="s">
        <v>229</v>
      </c>
      <c r="E4" s="12" t="s">
        <v>230</v>
      </c>
      <c r="F4" s="17" t="s">
        <v>96</v>
      </c>
      <c r="G4" s="11" t="s">
        <v>231</v>
      </c>
      <c r="H4" s="11" t="s">
        <v>89</v>
      </c>
      <c r="I4" s="14" t="s">
        <v>232</v>
      </c>
      <c r="J4" s="14" t="s">
        <v>233</v>
      </c>
      <c r="K4" s="14" t="s">
        <v>234</v>
      </c>
      <c r="L4" s="11">
        <v>7</v>
      </c>
      <c r="M4" s="31" t="s">
        <v>96</v>
      </c>
      <c r="N4" s="32" t="s">
        <v>235</v>
      </c>
    </row>
    <row r="5" spans="1:14" ht="64.5" customHeight="1" x14ac:dyDescent="0.3">
      <c r="A5" s="15" t="s">
        <v>34</v>
      </c>
      <c r="B5" s="15" t="s">
        <v>236</v>
      </c>
      <c r="C5" s="16" t="s">
        <v>237</v>
      </c>
      <c r="D5" s="16" t="s">
        <v>238</v>
      </c>
      <c r="E5" s="12" t="s">
        <v>230</v>
      </c>
      <c r="F5" s="12" t="s">
        <v>82</v>
      </c>
      <c r="G5" s="15" t="s">
        <v>231</v>
      </c>
      <c r="H5" s="15" t="s">
        <v>89</v>
      </c>
      <c r="I5" s="16" t="s">
        <v>239</v>
      </c>
      <c r="J5" s="16" t="s">
        <v>240</v>
      </c>
      <c r="K5" s="16" t="s">
        <v>241</v>
      </c>
      <c r="L5" s="15">
        <v>20</v>
      </c>
      <c r="M5" s="33" t="s">
        <v>82</v>
      </c>
      <c r="N5" s="34" t="s">
        <v>242</v>
      </c>
    </row>
    <row r="6" spans="1:14" ht="64.5" customHeight="1" x14ac:dyDescent="0.3">
      <c r="A6" s="11" t="s">
        <v>243</v>
      </c>
      <c r="B6" s="11" t="s">
        <v>244</v>
      </c>
      <c r="C6" s="14" t="s">
        <v>245</v>
      </c>
      <c r="D6" s="14" t="s">
        <v>246</v>
      </c>
      <c r="E6" s="12" t="s">
        <v>230</v>
      </c>
      <c r="F6" s="17" t="s">
        <v>96</v>
      </c>
      <c r="G6" s="11" t="s">
        <v>231</v>
      </c>
      <c r="H6" s="11" t="s">
        <v>89</v>
      </c>
      <c r="I6" s="14" t="s">
        <v>247</v>
      </c>
      <c r="J6" s="14" t="s">
        <v>248</v>
      </c>
      <c r="K6" s="14" t="s">
        <v>249</v>
      </c>
      <c r="L6" s="11">
        <v>3</v>
      </c>
      <c r="M6" s="31" t="s">
        <v>96</v>
      </c>
      <c r="N6" s="32" t="s">
        <v>235</v>
      </c>
    </row>
    <row r="7" spans="1:14" ht="64.5" customHeight="1" x14ac:dyDescent="0.3">
      <c r="A7" s="15" t="s">
        <v>250</v>
      </c>
      <c r="B7" s="15" t="s">
        <v>27</v>
      </c>
      <c r="C7" s="16" t="s">
        <v>251</v>
      </c>
      <c r="D7" s="16" t="s">
        <v>252</v>
      </c>
      <c r="E7" s="12" t="s">
        <v>230</v>
      </c>
      <c r="F7" s="17" t="s">
        <v>96</v>
      </c>
      <c r="G7" s="15" t="s">
        <v>231</v>
      </c>
      <c r="H7" s="15" t="s">
        <v>89</v>
      </c>
      <c r="I7" s="16" t="s">
        <v>253</v>
      </c>
      <c r="J7" s="16" t="s">
        <v>254</v>
      </c>
      <c r="K7" s="16" t="s">
        <v>255</v>
      </c>
      <c r="L7" s="15">
        <v>11</v>
      </c>
      <c r="M7" s="31" t="s">
        <v>96</v>
      </c>
      <c r="N7" s="35" t="s">
        <v>235</v>
      </c>
    </row>
    <row r="8" spans="1:14" ht="64.5" customHeight="1" x14ac:dyDescent="0.3">
      <c r="A8" s="11" t="s">
        <v>41</v>
      </c>
      <c r="B8" s="11" t="s">
        <v>39</v>
      </c>
      <c r="C8" s="14" t="s">
        <v>256</v>
      </c>
      <c r="D8" s="14" t="s">
        <v>257</v>
      </c>
      <c r="E8" s="12" t="s">
        <v>230</v>
      </c>
      <c r="F8" s="12" t="s">
        <v>82</v>
      </c>
      <c r="G8" s="11" t="s">
        <v>231</v>
      </c>
      <c r="H8" s="11" t="s">
        <v>89</v>
      </c>
      <c r="I8" s="14" t="s">
        <v>258</v>
      </c>
      <c r="J8" s="14" t="s">
        <v>259</v>
      </c>
      <c r="K8" s="14" t="s">
        <v>260</v>
      </c>
      <c r="L8" s="11">
        <v>23</v>
      </c>
      <c r="M8" s="33" t="s">
        <v>82</v>
      </c>
      <c r="N8" s="34" t="s">
        <v>242</v>
      </c>
    </row>
    <row r="9" spans="1:14" ht="64.5" customHeight="1" x14ac:dyDescent="0.3">
      <c r="A9" s="15" t="s">
        <v>261</v>
      </c>
      <c r="B9" s="15" t="s">
        <v>262</v>
      </c>
      <c r="C9" s="16" t="s">
        <v>263</v>
      </c>
      <c r="D9" s="16" t="s">
        <v>264</v>
      </c>
      <c r="E9" s="17" t="s">
        <v>265</v>
      </c>
      <c r="F9" s="18" t="s">
        <v>102</v>
      </c>
      <c r="G9" s="15" t="s">
        <v>231</v>
      </c>
      <c r="H9" s="15" t="s">
        <v>89</v>
      </c>
      <c r="I9" s="16" t="s">
        <v>266</v>
      </c>
      <c r="J9" s="16" t="s">
        <v>267</v>
      </c>
      <c r="K9" s="16" t="s">
        <v>268</v>
      </c>
      <c r="L9" s="15">
        <v>16</v>
      </c>
      <c r="M9" s="36" t="s">
        <v>123</v>
      </c>
      <c r="N9" s="35" t="s">
        <v>235</v>
      </c>
    </row>
    <row r="10" spans="1:14" ht="64.5" customHeight="1" x14ac:dyDescent="0.3">
      <c r="A10" s="11" t="s">
        <v>269</v>
      </c>
      <c r="B10" s="11" t="s">
        <v>270</v>
      </c>
      <c r="C10" s="14" t="s">
        <v>271</v>
      </c>
      <c r="D10" s="14" t="s">
        <v>272</v>
      </c>
      <c r="E10" s="12" t="s">
        <v>230</v>
      </c>
      <c r="F10" s="17" t="s">
        <v>96</v>
      </c>
      <c r="G10" s="11" t="s">
        <v>231</v>
      </c>
      <c r="H10" s="11" t="s">
        <v>89</v>
      </c>
      <c r="I10" s="14" t="s">
        <v>273</v>
      </c>
      <c r="J10" s="14" t="s">
        <v>274</v>
      </c>
      <c r="K10" s="14" t="s">
        <v>275</v>
      </c>
      <c r="L10" s="11">
        <v>1</v>
      </c>
      <c r="M10" s="31" t="s">
        <v>96</v>
      </c>
      <c r="N10" s="32" t="s">
        <v>235</v>
      </c>
    </row>
    <row r="11" spans="1:14" ht="64.5" customHeight="1" x14ac:dyDescent="0.3">
      <c r="A11" s="15" t="s">
        <v>276</v>
      </c>
      <c r="B11" s="15" t="s">
        <v>277</v>
      </c>
      <c r="C11" s="16" t="s">
        <v>278</v>
      </c>
      <c r="D11" s="16" t="s">
        <v>279</v>
      </c>
      <c r="E11" s="12" t="s">
        <v>230</v>
      </c>
      <c r="F11" s="17" t="s">
        <v>96</v>
      </c>
      <c r="G11" s="15" t="s">
        <v>231</v>
      </c>
      <c r="H11" s="15" t="s">
        <v>89</v>
      </c>
      <c r="I11" s="16" t="s">
        <v>280</v>
      </c>
      <c r="J11" s="16" t="s">
        <v>281</v>
      </c>
      <c r="K11" s="16" t="s">
        <v>282</v>
      </c>
      <c r="L11" s="15">
        <v>5</v>
      </c>
      <c r="M11" s="31" t="s">
        <v>96</v>
      </c>
      <c r="N11" s="35" t="s">
        <v>235</v>
      </c>
    </row>
    <row r="12" spans="1:14" ht="64.5" customHeight="1" x14ac:dyDescent="0.3">
      <c r="A12" s="11" t="s">
        <v>283</v>
      </c>
      <c r="B12" s="11" t="s">
        <v>284</v>
      </c>
      <c r="C12" s="14" t="s">
        <v>285</v>
      </c>
      <c r="D12" s="14" t="s">
        <v>286</v>
      </c>
      <c r="E12" s="12" t="s">
        <v>230</v>
      </c>
      <c r="F12" s="17" t="s">
        <v>96</v>
      </c>
      <c r="G12" s="11" t="s">
        <v>231</v>
      </c>
      <c r="H12" s="11" t="s">
        <v>89</v>
      </c>
      <c r="I12" s="14" t="s">
        <v>287</v>
      </c>
      <c r="J12" s="14" t="s">
        <v>288</v>
      </c>
      <c r="K12" s="14" t="s">
        <v>289</v>
      </c>
      <c r="L12" s="11">
        <v>21</v>
      </c>
      <c r="M12" s="31" t="s">
        <v>96</v>
      </c>
      <c r="N12" s="32" t="s">
        <v>235</v>
      </c>
    </row>
    <row r="13" spans="1:14" ht="64.5" customHeight="1" x14ac:dyDescent="0.3">
      <c r="A13" s="15" t="s">
        <v>290</v>
      </c>
      <c r="B13" s="15" t="s">
        <v>291</v>
      </c>
      <c r="C13" s="16" t="s">
        <v>292</v>
      </c>
      <c r="D13" s="16" t="s">
        <v>293</v>
      </c>
      <c r="E13" s="12" t="s">
        <v>230</v>
      </c>
      <c r="F13" s="18" t="s">
        <v>102</v>
      </c>
      <c r="G13" s="15" t="s">
        <v>231</v>
      </c>
      <c r="H13" s="15" t="s">
        <v>89</v>
      </c>
      <c r="I13" s="16" t="s">
        <v>294</v>
      </c>
      <c r="J13" s="16" t="s">
        <v>295</v>
      </c>
      <c r="K13" s="16" t="s">
        <v>296</v>
      </c>
      <c r="L13" s="15">
        <v>22</v>
      </c>
      <c r="M13" s="37" t="s">
        <v>102</v>
      </c>
      <c r="N13" s="35" t="s">
        <v>235</v>
      </c>
    </row>
    <row r="14" spans="1:14" ht="64.5" customHeight="1" x14ac:dyDescent="0.3">
      <c r="A14" s="11" t="s">
        <v>297</v>
      </c>
      <c r="B14" s="11" t="s">
        <v>298</v>
      </c>
      <c r="C14" s="14" t="s">
        <v>299</v>
      </c>
      <c r="D14" s="14" t="s">
        <v>300</v>
      </c>
      <c r="E14" s="12" t="s">
        <v>230</v>
      </c>
      <c r="F14" s="18" t="s">
        <v>102</v>
      </c>
      <c r="G14" s="11" t="s">
        <v>231</v>
      </c>
      <c r="H14" s="11" t="s">
        <v>89</v>
      </c>
      <c r="I14" s="14" t="s">
        <v>301</v>
      </c>
      <c r="J14" s="14" t="s">
        <v>302</v>
      </c>
      <c r="K14" s="14" t="s">
        <v>303</v>
      </c>
      <c r="L14" s="11">
        <v>13</v>
      </c>
      <c r="M14" s="37" t="s">
        <v>102</v>
      </c>
      <c r="N14" s="32" t="s">
        <v>235</v>
      </c>
    </row>
    <row r="15" spans="1:14" ht="64.5" customHeight="1" x14ac:dyDescent="0.3">
      <c r="A15" s="15" t="s">
        <v>304</v>
      </c>
      <c r="B15" s="15" t="s">
        <v>305</v>
      </c>
      <c r="C15" s="16" t="s">
        <v>306</v>
      </c>
      <c r="D15" s="16" t="s">
        <v>307</v>
      </c>
      <c r="E15" s="17" t="s">
        <v>265</v>
      </c>
      <c r="F15" s="19" t="s">
        <v>123</v>
      </c>
      <c r="G15" s="15" t="s">
        <v>231</v>
      </c>
      <c r="H15" s="15" t="s">
        <v>89</v>
      </c>
      <c r="I15" s="16" t="s">
        <v>308</v>
      </c>
      <c r="J15" s="16" t="s">
        <v>309</v>
      </c>
      <c r="K15" s="16" t="s">
        <v>310</v>
      </c>
      <c r="L15" s="15">
        <v>15</v>
      </c>
      <c r="M15" s="36" t="s">
        <v>123</v>
      </c>
      <c r="N15" s="35" t="s">
        <v>235</v>
      </c>
    </row>
    <row r="16" spans="1:14" ht="64.5" customHeight="1" x14ac:dyDescent="0.3">
      <c r="A16" s="11" t="s">
        <v>311</v>
      </c>
      <c r="B16" s="11" t="s">
        <v>312</v>
      </c>
      <c r="C16" s="14" t="s">
        <v>313</v>
      </c>
      <c r="D16" s="14" t="s">
        <v>314</v>
      </c>
      <c r="E16" s="12" t="s">
        <v>230</v>
      </c>
      <c r="F16" s="18" t="s">
        <v>102</v>
      </c>
      <c r="G16" s="11" t="s">
        <v>231</v>
      </c>
      <c r="H16" s="11" t="s">
        <v>89</v>
      </c>
      <c r="I16" s="14" t="s">
        <v>315</v>
      </c>
      <c r="J16" s="14" t="s">
        <v>316</v>
      </c>
      <c r="K16" s="14" t="s">
        <v>317</v>
      </c>
      <c r="L16" s="11">
        <v>12</v>
      </c>
      <c r="M16" s="37" t="s">
        <v>102</v>
      </c>
      <c r="N16" s="32" t="s">
        <v>235</v>
      </c>
    </row>
    <row r="17" spans="1:14" ht="64.5" customHeight="1" x14ac:dyDescent="0.3">
      <c r="A17" s="15" t="s">
        <v>318</v>
      </c>
      <c r="B17" s="15" t="s">
        <v>47</v>
      </c>
      <c r="C17" s="16" t="s">
        <v>319</v>
      </c>
      <c r="D17" s="16" t="s">
        <v>320</v>
      </c>
      <c r="E17" s="12" t="s">
        <v>230</v>
      </c>
      <c r="F17" s="18" t="s">
        <v>102</v>
      </c>
      <c r="G17" s="15" t="s">
        <v>231</v>
      </c>
      <c r="H17" s="15" t="s">
        <v>89</v>
      </c>
      <c r="I17" s="16" t="s">
        <v>321</v>
      </c>
      <c r="J17" s="16" t="s">
        <v>322</v>
      </c>
      <c r="K17" s="16" t="s">
        <v>323</v>
      </c>
      <c r="L17" s="15">
        <v>28</v>
      </c>
      <c r="M17" s="37" t="s">
        <v>102</v>
      </c>
      <c r="N17" s="35" t="s">
        <v>235</v>
      </c>
    </row>
    <row r="18" spans="1:14" ht="64.5" customHeight="1" x14ac:dyDescent="0.3">
      <c r="A18" s="11" t="s">
        <v>54</v>
      </c>
      <c r="B18" s="11" t="s">
        <v>52</v>
      </c>
      <c r="C18" s="14" t="s">
        <v>324</v>
      </c>
      <c r="D18" s="14" t="s">
        <v>325</v>
      </c>
      <c r="E18" s="12" t="s">
        <v>230</v>
      </c>
      <c r="F18" s="18" t="s">
        <v>102</v>
      </c>
      <c r="G18" s="11" t="s">
        <v>231</v>
      </c>
      <c r="H18" s="11" t="s">
        <v>89</v>
      </c>
      <c r="I18" s="14" t="s">
        <v>326</v>
      </c>
      <c r="J18" s="14" t="s">
        <v>327</v>
      </c>
      <c r="K18" s="14" t="s">
        <v>328</v>
      </c>
      <c r="L18" s="11">
        <v>30</v>
      </c>
      <c r="M18" s="63" t="s">
        <v>102</v>
      </c>
      <c r="N18" s="32" t="s">
        <v>235</v>
      </c>
    </row>
    <row r="19" spans="1:14" ht="66" customHeight="1" x14ac:dyDescent="0.3">
      <c r="A19" s="66" t="s">
        <v>329</v>
      </c>
      <c r="B19" s="67" t="s">
        <v>330</v>
      </c>
      <c r="C19" s="68" t="s">
        <v>331</v>
      </c>
      <c r="D19" s="68" t="s">
        <v>332</v>
      </c>
      <c r="E19" s="65" t="s">
        <v>230</v>
      </c>
      <c r="F19" s="65" t="s">
        <v>82</v>
      </c>
      <c r="G19" s="67" t="s">
        <v>333</v>
      </c>
      <c r="H19" s="67" t="s">
        <v>89</v>
      </c>
      <c r="I19" s="68" t="s">
        <v>334</v>
      </c>
      <c r="J19" s="68" t="s">
        <v>335</v>
      </c>
      <c r="K19" s="68" t="s">
        <v>336</v>
      </c>
      <c r="L19" s="67">
        <v>17</v>
      </c>
      <c r="M19" s="65" t="s">
        <v>82</v>
      </c>
      <c r="N19" s="69" t="s">
        <v>242</v>
      </c>
    </row>
  </sheetData>
  <mergeCells count="1">
    <mergeCell ref="A1:L1"/>
  </mergeCells>
  <dataValidations disablePrompts="1" count="2">
    <dataValidation type="list" allowBlank="1" sqref="E4:E1000" xr:uid="{00000000-0002-0000-0200-000000000000}">
      <formula1>"Active,Deferred,Resolved,Closed,Reopened"</formula1>
      <formula2>0</formula2>
    </dataValidation>
    <dataValidation type="list" allowBlank="1" sqref="F4:F1000" xr:uid="{00000000-0002-0000-0200-000001000000}">
      <formula1>"Critical,High,Medium,Low"</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9"/>
  </sheetPr>
  <dimension ref="A1:E24"/>
  <sheetViews>
    <sheetView zoomScaleNormal="100" workbookViewId="0">
      <selection activeCell="B20" sqref="B20:E20"/>
    </sheetView>
  </sheetViews>
  <sheetFormatPr defaultColWidth="8.6640625" defaultRowHeight="14.4" x14ac:dyDescent="0.3"/>
  <cols>
    <col min="1" max="1" width="18" style="1" customWidth="1"/>
    <col min="2" max="2" width="40" style="1" customWidth="1"/>
    <col min="3" max="3" width="35" style="1" customWidth="1"/>
    <col min="4" max="4" width="40" style="1" customWidth="1"/>
    <col min="5" max="5" width="22" style="1" customWidth="1"/>
  </cols>
  <sheetData>
    <row r="1" spans="1:5" ht="30" customHeight="1" x14ac:dyDescent="0.3">
      <c r="A1" s="86" t="s">
        <v>337</v>
      </c>
      <c r="B1" s="83"/>
      <c r="C1" s="83"/>
      <c r="D1" s="83"/>
      <c r="E1" s="83"/>
    </row>
    <row r="3" spans="1:5" ht="21.75" customHeight="1" x14ac:dyDescent="0.3">
      <c r="A3" s="84" t="s">
        <v>338</v>
      </c>
      <c r="B3" s="83"/>
      <c r="C3" s="83"/>
      <c r="D3" s="83"/>
      <c r="E3" s="83"/>
    </row>
    <row r="4" spans="1:5" ht="15" customHeight="1" x14ac:dyDescent="0.3">
      <c r="A4" s="38" t="s">
        <v>4</v>
      </c>
      <c r="B4" s="38" t="s">
        <v>339</v>
      </c>
      <c r="C4" s="38" t="s">
        <v>340</v>
      </c>
      <c r="D4" s="38" t="s">
        <v>341</v>
      </c>
      <c r="E4" s="38" t="s">
        <v>342</v>
      </c>
    </row>
    <row r="5" spans="1:5" ht="39.75" customHeight="1" x14ac:dyDescent="0.3">
      <c r="A5" s="39" t="s">
        <v>82</v>
      </c>
      <c r="B5" s="40" t="s">
        <v>343</v>
      </c>
      <c r="C5" s="40" t="s">
        <v>344</v>
      </c>
      <c r="D5" s="40" t="s">
        <v>345</v>
      </c>
      <c r="E5" s="40" t="s">
        <v>346</v>
      </c>
    </row>
    <row r="6" spans="1:5" ht="39.75" customHeight="1" x14ac:dyDescent="0.3">
      <c r="A6" s="41" t="s">
        <v>96</v>
      </c>
      <c r="B6" s="42" t="s">
        <v>347</v>
      </c>
      <c r="C6" s="42" t="s">
        <v>348</v>
      </c>
      <c r="D6" s="42" t="s">
        <v>349</v>
      </c>
      <c r="E6" s="42" t="s">
        <v>350</v>
      </c>
    </row>
    <row r="7" spans="1:5" ht="39.75" customHeight="1" x14ac:dyDescent="0.3">
      <c r="A7" s="43" t="s">
        <v>102</v>
      </c>
      <c r="B7" s="44" t="s">
        <v>351</v>
      </c>
      <c r="C7" s="44" t="s">
        <v>352</v>
      </c>
      <c r="D7" s="44" t="s">
        <v>353</v>
      </c>
      <c r="E7" s="44" t="s">
        <v>354</v>
      </c>
    </row>
    <row r="8" spans="1:5" ht="39.75" customHeight="1" x14ac:dyDescent="0.3">
      <c r="A8" s="45" t="s">
        <v>123</v>
      </c>
      <c r="B8" s="46" t="s">
        <v>355</v>
      </c>
      <c r="C8" s="46" t="s">
        <v>356</v>
      </c>
      <c r="D8" s="46" t="s">
        <v>357</v>
      </c>
      <c r="E8" s="46" t="s">
        <v>358</v>
      </c>
    </row>
    <row r="11" spans="1:5" ht="21.75" customHeight="1" x14ac:dyDescent="0.3">
      <c r="A11" s="84" t="s">
        <v>359</v>
      </c>
      <c r="B11" s="83"/>
      <c r="C11" s="83"/>
      <c r="D11" s="83"/>
      <c r="E11" s="83"/>
    </row>
    <row r="12" spans="1:5" ht="15" customHeight="1" x14ac:dyDescent="0.3">
      <c r="A12" s="38" t="s">
        <v>4</v>
      </c>
      <c r="B12" s="38" t="s">
        <v>339</v>
      </c>
      <c r="C12" s="38" t="s">
        <v>340</v>
      </c>
      <c r="D12" s="38" t="s">
        <v>341</v>
      </c>
      <c r="E12" s="38" t="s">
        <v>342</v>
      </c>
    </row>
    <row r="13" spans="1:5" ht="39.75" customHeight="1" x14ac:dyDescent="0.3">
      <c r="A13" s="39" t="s">
        <v>82</v>
      </c>
      <c r="B13" s="40" t="s">
        <v>360</v>
      </c>
      <c r="C13" s="40" t="s">
        <v>361</v>
      </c>
      <c r="D13" s="40" t="s">
        <v>362</v>
      </c>
      <c r="E13" s="40" t="s">
        <v>363</v>
      </c>
    </row>
    <row r="14" spans="1:5" ht="39.75" customHeight="1" x14ac:dyDescent="0.3">
      <c r="A14" s="41" t="s">
        <v>96</v>
      </c>
      <c r="B14" s="42" t="s">
        <v>364</v>
      </c>
      <c r="C14" s="42" t="s">
        <v>365</v>
      </c>
      <c r="D14" s="42" t="s">
        <v>366</v>
      </c>
      <c r="E14" s="42" t="s">
        <v>367</v>
      </c>
    </row>
    <row r="15" spans="1:5" ht="39.75" customHeight="1" x14ac:dyDescent="0.3">
      <c r="A15" s="43" t="s">
        <v>102</v>
      </c>
      <c r="B15" s="44" t="s">
        <v>368</v>
      </c>
      <c r="C15" s="44" t="s">
        <v>369</v>
      </c>
      <c r="D15" s="44" t="s">
        <v>370</v>
      </c>
      <c r="E15" s="44" t="s">
        <v>354</v>
      </c>
    </row>
    <row r="16" spans="1:5" ht="39.75" customHeight="1" x14ac:dyDescent="0.3">
      <c r="A16" s="45" t="s">
        <v>123</v>
      </c>
      <c r="B16" s="46" t="s">
        <v>371</v>
      </c>
      <c r="C16" s="46" t="s">
        <v>372</v>
      </c>
      <c r="D16" s="46" t="s">
        <v>373</v>
      </c>
      <c r="E16" s="46" t="s">
        <v>358</v>
      </c>
    </row>
    <row r="19" spans="1:5" ht="24.75" customHeight="1" x14ac:dyDescent="0.3">
      <c r="A19" s="86" t="s">
        <v>374</v>
      </c>
      <c r="B19" s="83"/>
      <c r="C19" s="83"/>
      <c r="D19" s="83"/>
      <c r="E19" s="83"/>
    </row>
    <row r="20" spans="1:5" ht="45" customHeight="1" x14ac:dyDescent="0.3">
      <c r="A20" s="47" t="s">
        <v>375</v>
      </c>
      <c r="B20" s="82" t="s">
        <v>376</v>
      </c>
      <c r="C20" s="83"/>
      <c r="D20" s="83"/>
      <c r="E20" s="83"/>
    </row>
    <row r="21" spans="1:5" ht="45" customHeight="1" x14ac:dyDescent="0.3">
      <c r="A21" s="48" t="s">
        <v>377</v>
      </c>
      <c r="B21" s="85" t="s">
        <v>378</v>
      </c>
      <c r="C21" s="83"/>
      <c r="D21" s="83"/>
      <c r="E21" s="83"/>
    </row>
    <row r="22" spans="1:5" ht="45" customHeight="1" x14ac:dyDescent="0.3">
      <c r="A22" s="48" t="s">
        <v>379</v>
      </c>
      <c r="B22" s="82" t="s">
        <v>380</v>
      </c>
      <c r="C22" s="83"/>
      <c r="D22" s="83"/>
      <c r="E22" s="83"/>
    </row>
    <row r="23" spans="1:5" ht="45" customHeight="1" x14ac:dyDescent="0.3">
      <c r="A23" s="48" t="s">
        <v>381</v>
      </c>
      <c r="B23" s="85" t="s">
        <v>382</v>
      </c>
      <c r="C23" s="83"/>
      <c r="D23" s="83"/>
      <c r="E23" s="83"/>
    </row>
    <row r="24" spans="1:5" ht="45" customHeight="1" x14ac:dyDescent="0.3">
      <c r="A24" s="48" t="s">
        <v>383</v>
      </c>
      <c r="B24" s="82" t="s">
        <v>384</v>
      </c>
      <c r="C24" s="83"/>
      <c r="D24" s="83"/>
      <c r="E24" s="83"/>
    </row>
  </sheetData>
  <mergeCells count="9">
    <mergeCell ref="A1:E1"/>
    <mergeCell ref="B24:E24"/>
    <mergeCell ref="B20:E20"/>
    <mergeCell ref="B22:E22"/>
    <mergeCell ref="A3:E3"/>
    <mergeCell ref="B23:E23"/>
    <mergeCell ref="B21:E21"/>
    <mergeCell ref="A19:E19"/>
    <mergeCell ref="A11:E1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1"/>
  <sheetViews>
    <sheetView workbookViewId="0">
      <selection activeCell="G24" sqref="G24"/>
    </sheetView>
  </sheetViews>
  <sheetFormatPr defaultRowHeight="14.4" x14ac:dyDescent="0.3"/>
  <cols>
    <col min="1" max="1" width="11.5546875" bestFit="1" customWidth="1"/>
    <col min="2" max="2" width="28.5546875" customWidth="1"/>
    <col min="3" max="3" width="14.33203125" bestFit="1" customWidth="1"/>
    <col min="4" max="4" width="10.5546875" bestFit="1" customWidth="1"/>
    <col min="5" max="5" width="11.44140625" bestFit="1" customWidth="1"/>
  </cols>
  <sheetData>
    <row r="1" spans="1:5" x14ac:dyDescent="0.3">
      <c r="A1" t="s">
        <v>835</v>
      </c>
    </row>
    <row r="3" spans="1:5" x14ac:dyDescent="0.3">
      <c r="A3" t="s">
        <v>385</v>
      </c>
      <c r="B3" t="s">
        <v>386</v>
      </c>
      <c r="C3" t="s">
        <v>387</v>
      </c>
      <c r="D3" t="s">
        <v>388</v>
      </c>
      <c r="E3" t="s">
        <v>389</v>
      </c>
    </row>
    <row r="4" spans="1:5" x14ac:dyDescent="0.3">
      <c r="A4" t="s">
        <v>390</v>
      </c>
      <c r="B4" t="s">
        <v>391</v>
      </c>
      <c r="C4" s="87">
        <v>13</v>
      </c>
      <c r="D4" s="87">
        <v>5</v>
      </c>
      <c r="E4" s="87">
        <v>8</v>
      </c>
    </row>
    <row r="5" spans="1:5" x14ac:dyDescent="0.3">
      <c r="A5" t="s">
        <v>392</v>
      </c>
      <c r="B5" t="s">
        <v>393</v>
      </c>
      <c r="C5" s="87">
        <v>10</v>
      </c>
      <c r="D5" s="87">
        <v>5</v>
      </c>
      <c r="E5" s="87">
        <v>5</v>
      </c>
    </row>
    <row r="6" spans="1:5" x14ac:dyDescent="0.3">
      <c r="A6" t="s">
        <v>394</v>
      </c>
      <c r="B6" t="s">
        <v>395</v>
      </c>
      <c r="C6" s="87">
        <v>9</v>
      </c>
      <c r="D6" s="87">
        <v>5</v>
      </c>
      <c r="E6" s="87">
        <v>4</v>
      </c>
    </row>
    <row r="7" spans="1:5" x14ac:dyDescent="0.3">
      <c r="A7" t="s">
        <v>396</v>
      </c>
      <c r="B7" t="s">
        <v>397</v>
      </c>
      <c r="C7" s="87">
        <v>10</v>
      </c>
      <c r="D7" s="87">
        <v>5</v>
      </c>
      <c r="E7" s="87">
        <v>5</v>
      </c>
    </row>
    <row r="8" spans="1:5" x14ac:dyDescent="0.3">
      <c r="A8" t="s">
        <v>398</v>
      </c>
      <c r="B8" t="s">
        <v>399</v>
      </c>
      <c r="C8" s="87">
        <v>10</v>
      </c>
      <c r="D8" s="87">
        <v>5</v>
      </c>
      <c r="E8" s="87">
        <v>5</v>
      </c>
    </row>
    <row r="9" spans="1:5" x14ac:dyDescent="0.3">
      <c r="A9" t="s">
        <v>400</v>
      </c>
      <c r="B9" t="s">
        <v>401</v>
      </c>
      <c r="C9" s="87">
        <v>10</v>
      </c>
      <c r="D9" s="87">
        <v>5</v>
      </c>
      <c r="E9" s="87">
        <v>5</v>
      </c>
    </row>
    <row r="10" spans="1:5" x14ac:dyDescent="0.3">
      <c r="A10" t="s">
        <v>402</v>
      </c>
      <c r="B10" t="s">
        <v>403</v>
      </c>
      <c r="C10" s="87">
        <v>10</v>
      </c>
      <c r="D10" s="87">
        <v>5</v>
      </c>
      <c r="E10" s="87">
        <v>5</v>
      </c>
    </row>
    <row r="11" spans="1:5" x14ac:dyDescent="0.3">
      <c r="A11" t="s">
        <v>404</v>
      </c>
      <c r="C11" s="87">
        <v>72</v>
      </c>
      <c r="D11" s="87">
        <v>35</v>
      </c>
      <c r="E11" s="87">
        <v>37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5"/>
  <sheetViews>
    <sheetView tabSelected="1" zoomScale="94" workbookViewId="0">
      <selection activeCell="F5" sqref="F5"/>
    </sheetView>
  </sheetViews>
  <sheetFormatPr defaultRowHeight="14.4" x14ac:dyDescent="0.3"/>
  <cols>
    <col min="1" max="1" width="16.33203125" style="71" customWidth="1"/>
    <col min="2" max="2" width="11.5546875" style="71" customWidth="1"/>
    <col min="3" max="3" width="37.5546875" style="71" customWidth="1"/>
    <col min="4" max="4" width="24.6640625" style="71" customWidth="1"/>
    <col min="5" max="5" width="41.88671875" style="71" customWidth="1"/>
    <col min="6" max="6" width="31.109375" style="71" customWidth="1"/>
    <col min="7" max="7" width="90.21875" style="71" bestFit="1" customWidth="1"/>
    <col min="8" max="8" width="7.6640625" style="71" bestFit="1" customWidth="1"/>
    <col min="9" max="9" width="12" style="71" bestFit="1" customWidth="1"/>
    <col min="10" max="16384" width="8.88671875" style="71"/>
  </cols>
  <sheetData>
    <row r="1" spans="1:9" s="70" customFormat="1" x14ac:dyDescent="0.3">
      <c r="A1" s="70" t="s">
        <v>834</v>
      </c>
    </row>
    <row r="2" spans="1:9" s="73" customFormat="1" x14ac:dyDescent="0.3">
      <c r="A2" s="73" t="s">
        <v>5</v>
      </c>
      <c r="B2" s="73" t="s">
        <v>405</v>
      </c>
      <c r="C2" s="73" t="s">
        <v>406</v>
      </c>
      <c r="D2" s="73" t="s">
        <v>407</v>
      </c>
      <c r="E2" s="73" t="s">
        <v>73</v>
      </c>
      <c r="F2" s="73" t="s">
        <v>72</v>
      </c>
      <c r="G2" s="73" t="s">
        <v>74</v>
      </c>
      <c r="H2" s="73" t="s">
        <v>4</v>
      </c>
      <c r="I2" s="73" t="s">
        <v>222</v>
      </c>
    </row>
    <row r="3" spans="1:9" ht="72" x14ac:dyDescent="0.3">
      <c r="A3" s="71" t="s">
        <v>408</v>
      </c>
      <c r="B3" s="71" t="s">
        <v>409</v>
      </c>
      <c r="C3" s="71" t="s">
        <v>91</v>
      </c>
      <c r="D3" s="71" t="s">
        <v>410</v>
      </c>
      <c r="E3" s="72" t="s">
        <v>411</v>
      </c>
      <c r="F3" s="72" t="s">
        <v>412</v>
      </c>
      <c r="G3" s="71" t="s">
        <v>413</v>
      </c>
      <c r="H3" s="71" t="s">
        <v>96</v>
      </c>
      <c r="I3" s="71" t="s">
        <v>18</v>
      </c>
    </row>
    <row r="4" spans="1:9" ht="43.2" x14ac:dyDescent="0.3">
      <c r="A4" s="71" t="s">
        <v>414</v>
      </c>
      <c r="B4" s="71" t="s">
        <v>409</v>
      </c>
      <c r="C4" s="71" t="s">
        <v>415</v>
      </c>
      <c r="D4" s="71" t="s">
        <v>416</v>
      </c>
      <c r="E4" s="72" t="s">
        <v>417</v>
      </c>
      <c r="F4" s="71" t="s">
        <v>418</v>
      </c>
      <c r="G4" s="71" t="s">
        <v>419</v>
      </c>
      <c r="H4" s="71" t="s">
        <v>96</v>
      </c>
      <c r="I4" s="71" t="s">
        <v>18</v>
      </c>
    </row>
    <row r="5" spans="1:9" ht="43.2" x14ac:dyDescent="0.3">
      <c r="A5" s="71" t="s">
        <v>420</v>
      </c>
      <c r="B5" s="71" t="s">
        <v>409</v>
      </c>
      <c r="C5" s="71" t="s">
        <v>421</v>
      </c>
      <c r="D5" s="71" t="s">
        <v>422</v>
      </c>
      <c r="E5" s="72" t="s">
        <v>423</v>
      </c>
      <c r="F5" s="71" t="s">
        <v>424</v>
      </c>
      <c r="G5" s="71" t="s">
        <v>425</v>
      </c>
      <c r="H5" s="71" t="s">
        <v>102</v>
      </c>
      <c r="I5" s="71" t="s">
        <v>18</v>
      </c>
    </row>
    <row r="6" spans="1:9" ht="28.8" x14ac:dyDescent="0.3">
      <c r="A6" s="71" t="s">
        <v>426</v>
      </c>
      <c r="B6" s="71" t="s">
        <v>409</v>
      </c>
      <c r="C6" s="71" t="s">
        <v>427</v>
      </c>
      <c r="D6" s="71" t="s">
        <v>104</v>
      </c>
      <c r="E6" s="72" t="s">
        <v>428</v>
      </c>
      <c r="F6" s="71" t="s">
        <v>429</v>
      </c>
      <c r="G6" s="71" t="s">
        <v>430</v>
      </c>
      <c r="H6" s="71" t="s">
        <v>123</v>
      </c>
      <c r="I6" s="71" t="s">
        <v>18</v>
      </c>
    </row>
    <row r="7" spans="1:9" ht="22.8" customHeight="1" x14ac:dyDescent="0.3">
      <c r="A7" s="71" t="s">
        <v>431</v>
      </c>
      <c r="B7" s="71" t="s">
        <v>409</v>
      </c>
      <c r="C7" s="71" t="s">
        <v>432</v>
      </c>
      <c r="D7" s="71" t="s">
        <v>433</v>
      </c>
      <c r="E7" s="71" t="s">
        <v>434</v>
      </c>
      <c r="F7" s="71" t="s">
        <v>435</v>
      </c>
      <c r="G7" s="71" t="s">
        <v>436</v>
      </c>
      <c r="H7" s="71" t="s">
        <v>102</v>
      </c>
      <c r="I7" s="71" t="s">
        <v>18</v>
      </c>
    </row>
    <row r="8" spans="1:9" ht="57.6" x14ac:dyDescent="0.3">
      <c r="A8" s="71" t="s">
        <v>437</v>
      </c>
      <c r="B8" s="71" t="s">
        <v>438</v>
      </c>
      <c r="C8" s="71" t="s">
        <v>439</v>
      </c>
      <c r="D8" s="71" t="s">
        <v>440</v>
      </c>
      <c r="E8" s="72" t="s">
        <v>441</v>
      </c>
      <c r="F8" s="71" t="s">
        <v>442</v>
      </c>
      <c r="G8" s="71" t="s">
        <v>443</v>
      </c>
      <c r="H8" s="71" t="s">
        <v>96</v>
      </c>
      <c r="I8" s="71" t="s">
        <v>18</v>
      </c>
    </row>
    <row r="9" spans="1:9" ht="43.2" x14ac:dyDescent="0.3">
      <c r="A9" s="71" t="s">
        <v>444</v>
      </c>
      <c r="B9" s="71" t="s">
        <v>438</v>
      </c>
      <c r="C9" s="71" t="s">
        <v>445</v>
      </c>
      <c r="D9" s="71" t="s">
        <v>446</v>
      </c>
      <c r="E9" s="72" t="s">
        <v>447</v>
      </c>
      <c r="F9" s="71" t="s">
        <v>448</v>
      </c>
      <c r="G9" s="71" t="s">
        <v>449</v>
      </c>
      <c r="H9" s="71" t="s">
        <v>96</v>
      </c>
      <c r="I9" s="71" t="s">
        <v>18</v>
      </c>
    </row>
    <row r="10" spans="1:9" ht="28.8" x14ac:dyDescent="0.3">
      <c r="A10" s="71" t="s">
        <v>450</v>
      </c>
      <c r="B10" s="71" t="s">
        <v>438</v>
      </c>
      <c r="C10" s="71" t="s">
        <v>103</v>
      </c>
      <c r="D10" s="71" t="s">
        <v>104</v>
      </c>
      <c r="E10" s="72" t="s">
        <v>451</v>
      </c>
      <c r="F10" s="71" t="s">
        <v>452</v>
      </c>
      <c r="G10" s="71" t="s">
        <v>453</v>
      </c>
      <c r="H10" s="71" t="s">
        <v>96</v>
      </c>
      <c r="I10" s="71" t="s">
        <v>18</v>
      </c>
    </row>
    <row r="11" spans="1:9" ht="57.6" x14ac:dyDescent="0.3">
      <c r="A11" s="71" t="s">
        <v>454</v>
      </c>
      <c r="B11" s="71" t="s">
        <v>438</v>
      </c>
      <c r="C11" s="71" t="s">
        <v>455</v>
      </c>
      <c r="D11" s="71" t="s">
        <v>104</v>
      </c>
      <c r="E11" s="72" t="s">
        <v>456</v>
      </c>
      <c r="F11" s="71" t="s">
        <v>457</v>
      </c>
      <c r="G11" s="71" t="s">
        <v>458</v>
      </c>
      <c r="H11" s="71" t="s">
        <v>102</v>
      </c>
      <c r="I11" s="71" t="s">
        <v>18</v>
      </c>
    </row>
    <row r="12" spans="1:9" ht="57.6" x14ac:dyDescent="0.3">
      <c r="A12" s="71" t="s">
        <v>459</v>
      </c>
      <c r="B12" s="71" t="s">
        <v>438</v>
      </c>
      <c r="C12" s="71" t="s">
        <v>460</v>
      </c>
      <c r="D12" s="71" t="s">
        <v>461</v>
      </c>
      <c r="E12" s="72" t="s">
        <v>462</v>
      </c>
      <c r="F12" s="71" t="s">
        <v>463</v>
      </c>
      <c r="G12" s="71" t="s">
        <v>464</v>
      </c>
      <c r="H12" s="71" t="s">
        <v>96</v>
      </c>
      <c r="I12" s="71" t="s">
        <v>18</v>
      </c>
    </row>
    <row r="13" spans="1:9" ht="43.2" x14ac:dyDescent="0.3">
      <c r="A13" s="71" t="s">
        <v>465</v>
      </c>
      <c r="B13" s="71" t="s">
        <v>438</v>
      </c>
      <c r="C13" s="71" t="s">
        <v>466</v>
      </c>
      <c r="D13" s="71" t="s">
        <v>416</v>
      </c>
      <c r="E13" s="72" t="s">
        <v>467</v>
      </c>
      <c r="F13" s="71" t="s">
        <v>468</v>
      </c>
      <c r="G13" s="71" t="s">
        <v>469</v>
      </c>
      <c r="H13" s="71" t="s">
        <v>102</v>
      </c>
      <c r="I13" s="71" t="s">
        <v>18</v>
      </c>
    </row>
    <row r="14" spans="1:9" x14ac:dyDescent="0.3">
      <c r="A14" s="71" t="s">
        <v>470</v>
      </c>
      <c r="B14" s="71" t="s">
        <v>438</v>
      </c>
      <c r="C14" s="71" t="s">
        <v>471</v>
      </c>
      <c r="D14" s="71" t="s">
        <v>472</v>
      </c>
      <c r="E14" s="71" t="s">
        <v>473</v>
      </c>
      <c r="F14" s="71" t="s">
        <v>474</v>
      </c>
      <c r="G14" s="71" t="s">
        <v>475</v>
      </c>
      <c r="H14" s="71" t="s">
        <v>96</v>
      </c>
      <c r="I14" s="71" t="s">
        <v>18</v>
      </c>
    </row>
    <row r="15" spans="1:9" ht="43.2" x14ac:dyDescent="0.3">
      <c r="A15" s="71" t="s">
        <v>476</v>
      </c>
      <c r="B15" s="71" t="s">
        <v>438</v>
      </c>
      <c r="C15" s="71" t="s">
        <v>477</v>
      </c>
      <c r="D15" s="71" t="s">
        <v>440</v>
      </c>
      <c r="E15" s="72" t="s">
        <v>478</v>
      </c>
      <c r="F15" s="71" t="s">
        <v>479</v>
      </c>
      <c r="G15" s="71" t="s">
        <v>480</v>
      </c>
      <c r="H15" s="71" t="s">
        <v>102</v>
      </c>
      <c r="I15" s="71" t="s">
        <v>18</v>
      </c>
    </row>
  </sheetData>
  <pageMargins left="0.75" right="0.75" top="1" bottom="1"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2"/>
  <sheetViews>
    <sheetView workbookViewId="0"/>
  </sheetViews>
  <sheetFormatPr defaultRowHeight="14.4" x14ac:dyDescent="0.3"/>
  <sheetData>
    <row r="1" spans="1:9" x14ac:dyDescent="0.3">
      <c r="A1" t="s">
        <v>481</v>
      </c>
    </row>
    <row r="2" spans="1:9" x14ac:dyDescent="0.3">
      <c r="A2" t="s">
        <v>5</v>
      </c>
      <c r="B2" t="s">
        <v>405</v>
      </c>
      <c r="C2" t="s">
        <v>406</v>
      </c>
      <c r="D2" t="s">
        <v>407</v>
      </c>
      <c r="E2" t="s">
        <v>73</v>
      </c>
      <c r="F2" t="s">
        <v>72</v>
      </c>
      <c r="G2" t="s">
        <v>74</v>
      </c>
      <c r="H2" t="s">
        <v>4</v>
      </c>
      <c r="I2" t="s">
        <v>222</v>
      </c>
    </row>
    <row r="3" spans="1:9" x14ac:dyDescent="0.3">
      <c r="A3" t="s">
        <v>482</v>
      </c>
      <c r="B3" t="s">
        <v>409</v>
      </c>
      <c r="C3" t="s">
        <v>483</v>
      </c>
      <c r="D3" t="s">
        <v>484</v>
      </c>
      <c r="E3" t="s">
        <v>485</v>
      </c>
      <c r="F3" t="s">
        <v>486</v>
      </c>
      <c r="G3" t="s">
        <v>487</v>
      </c>
      <c r="H3" t="s">
        <v>96</v>
      </c>
      <c r="I3" t="s">
        <v>18</v>
      </c>
    </row>
    <row r="4" spans="1:9" x14ac:dyDescent="0.3">
      <c r="A4" t="s">
        <v>488</v>
      </c>
      <c r="B4" t="s">
        <v>409</v>
      </c>
      <c r="C4" t="s">
        <v>489</v>
      </c>
      <c r="D4" t="s">
        <v>490</v>
      </c>
      <c r="E4" t="s">
        <v>491</v>
      </c>
      <c r="F4" t="s">
        <v>492</v>
      </c>
      <c r="G4" t="s">
        <v>493</v>
      </c>
      <c r="H4" t="s">
        <v>96</v>
      </c>
      <c r="I4" t="s">
        <v>18</v>
      </c>
    </row>
    <row r="5" spans="1:9" x14ac:dyDescent="0.3">
      <c r="A5" t="s">
        <v>494</v>
      </c>
      <c r="B5" t="s">
        <v>409</v>
      </c>
      <c r="C5" t="s">
        <v>495</v>
      </c>
      <c r="D5" t="s">
        <v>496</v>
      </c>
      <c r="E5" t="s">
        <v>497</v>
      </c>
      <c r="F5" t="s">
        <v>498</v>
      </c>
      <c r="G5" t="s">
        <v>499</v>
      </c>
      <c r="H5" t="s">
        <v>102</v>
      </c>
      <c r="I5" t="s">
        <v>18</v>
      </c>
    </row>
    <row r="6" spans="1:9" x14ac:dyDescent="0.3">
      <c r="A6" t="s">
        <v>500</v>
      </c>
      <c r="B6" t="s">
        <v>409</v>
      </c>
      <c r="C6" t="s">
        <v>501</v>
      </c>
      <c r="D6" t="s">
        <v>502</v>
      </c>
      <c r="E6" t="s">
        <v>503</v>
      </c>
      <c r="F6" t="s">
        <v>504</v>
      </c>
      <c r="G6" t="s">
        <v>505</v>
      </c>
      <c r="H6" t="s">
        <v>102</v>
      </c>
      <c r="I6" t="s">
        <v>18</v>
      </c>
    </row>
    <row r="7" spans="1:9" x14ac:dyDescent="0.3">
      <c r="A7" t="s">
        <v>506</v>
      </c>
      <c r="B7" t="s">
        <v>409</v>
      </c>
      <c r="C7" t="s">
        <v>507</v>
      </c>
      <c r="D7" t="s">
        <v>508</v>
      </c>
      <c r="E7" t="s">
        <v>509</v>
      </c>
      <c r="F7" t="s">
        <v>510</v>
      </c>
      <c r="G7" t="s">
        <v>511</v>
      </c>
      <c r="H7" t="s">
        <v>102</v>
      </c>
      <c r="I7" t="s">
        <v>18</v>
      </c>
    </row>
    <row r="8" spans="1:9" x14ac:dyDescent="0.3">
      <c r="A8" t="s">
        <v>512</v>
      </c>
      <c r="B8" t="s">
        <v>438</v>
      </c>
      <c r="C8" t="s">
        <v>127</v>
      </c>
      <c r="D8" t="s">
        <v>513</v>
      </c>
      <c r="E8" t="s">
        <v>514</v>
      </c>
      <c r="F8" t="s">
        <v>515</v>
      </c>
      <c r="G8" t="s">
        <v>516</v>
      </c>
      <c r="H8" t="s">
        <v>96</v>
      </c>
      <c r="I8" t="s">
        <v>18</v>
      </c>
    </row>
    <row r="9" spans="1:9" x14ac:dyDescent="0.3">
      <c r="A9" t="s">
        <v>517</v>
      </c>
      <c r="B9" t="s">
        <v>438</v>
      </c>
      <c r="C9" t="s">
        <v>518</v>
      </c>
      <c r="D9" t="s">
        <v>519</v>
      </c>
      <c r="E9" t="s">
        <v>520</v>
      </c>
      <c r="F9" t="s">
        <v>521</v>
      </c>
      <c r="G9" t="s">
        <v>522</v>
      </c>
      <c r="H9" t="s">
        <v>123</v>
      </c>
      <c r="I9" t="s">
        <v>18</v>
      </c>
    </row>
    <row r="10" spans="1:9" x14ac:dyDescent="0.3">
      <c r="A10" t="s">
        <v>523</v>
      </c>
      <c r="B10" t="s">
        <v>438</v>
      </c>
      <c r="C10" t="s">
        <v>524</v>
      </c>
      <c r="D10" t="s">
        <v>519</v>
      </c>
      <c r="E10" t="s">
        <v>525</v>
      </c>
      <c r="F10" t="s">
        <v>526</v>
      </c>
      <c r="G10" t="s">
        <v>527</v>
      </c>
      <c r="H10" t="s">
        <v>96</v>
      </c>
      <c r="I10" t="s">
        <v>18</v>
      </c>
    </row>
    <row r="11" spans="1:9" x14ac:dyDescent="0.3">
      <c r="A11" t="s">
        <v>528</v>
      </c>
      <c r="B11" t="s">
        <v>438</v>
      </c>
      <c r="C11" t="s">
        <v>529</v>
      </c>
      <c r="D11" t="s">
        <v>496</v>
      </c>
      <c r="E11" t="s">
        <v>530</v>
      </c>
      <c r="F11" t="s">
        <v>531</v>
      </c>
      <c r="G11" t="s">
        <v>532</v>
      </c>
      <c r="H11" t="s">
        <v>102</v>
      </c>
      <c r="I11" t="s">
        <v>18</v>
      </c>
    </row>
    <row r="12" spans="1:9" x14ac:dyDescent="0.3">
      <c r="A12" t="s">
        <v>533</v>
      </c>
      <c r="B12" t="s">
        <v>438</v>
      </c>
      <c r="C12" t="s">
        <v>534</v>
      </c>
      <c r="D12" t="s">
        <v>519</v>
      </c>
      <c r="E12" t="s">
        <v>535</v>
      </c>
      <c r="F12" t="s">
        <v>536</v>
      </c>
      <c r="G12" t="s">
        <v>537</v>
      </c>
      <c r="H12" t="s">
        <v>123</v>
      </c>
      <c r="I12" t="s">
        <v>18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1"/>
  <sheetViews>
    <sheetView workbookViewId="0"/>
  </sheetViews>
  <sheetFormatPr defaultRowHeight="14.4" x14ac:dyDescent="0.3"/>
  <sheetData>
    <row r="1" spans="1:9" x14ac:dyDescent="0.3">
      <c r="A1" t="s">
        <v>538</v>
      </c>
    </row>
    <row r="2" spans="1:9" x14ac:dyDescent="0.3">
      <c r="A2" t="s">
        <v>5</v>
      </c>
      <c r="B2" t="s">
        <v>405</v>
      </c>
      <c r="C2" t="s">
        <v>406</v>
      </c>
      <c r="D2" t="s">
        <v>407</v>
      </c>
      <c r="E2" t="s">
        <v>73</v>
      </c>
      <c r="F2" t="s">
        <v>72</v>
      </c>
      <c r="G2" t="s">
        <v>74</v>
      </c>
      <c r="H2" t="s">
        <v>4</v>
      </c>
      <c r="I2" t="s">
        <v>222</v>
      </c>
    </row>
    <row r="3" spans="1:9" x14ac:dyDescent="0.3">
      <c r="A3" t="s">
        <v>539</v>
      </c>
      <c r="B3" t="s">
        <v>409</v>
      </c>
      <c r="C3" t="s">
        <v>540</v>
      </c>
      <c r="D3" t="s">
        <v>541</v>
      </c>
      <c r="E3" t="s">
        <v>542</v>
      </c>
      <c r="F3" t="s">
        <v>543</v>
      </c>
      <c r="G3" t="s">
        <v>544</v>
      </c>
      <c r="H3" t="s">
        <v>96</v>
      </c>
      <c r="I3" t="s">
        <v>18</v>
      </c>
    </row>
    <row r="4" spans="1:9" x14ac:dyDescent="0.3">
      <c r="A4" t="s">
        <v>545</v>
      </c>
      <c r="B4" t="s">
        <v>409</v>
      </c>
      <c r="C4" t="s">
        <v>546</v>
      </c>
      <c r="D4" t="s">
        <v>547</v>
      </c>
      <c r="E4" t="s">
        <v>548</v>
      </c>
      <c r="F4" t="s">
        <v>549</v>
      </c>
      <c r="G4" t="s">
        <v>550</v>
      </c>
      <c r="H4" t="s">
        <v>102</v>
      </c>
      <c r="I4" t="s">
        <v>18</v>
      </c>
    </row>
    <row r="5" spans="1:9" x14ac:dyDescent="0.3">
      <c r="A5" t="s">
        <v>551</v>
      </c>
      <c r="B5" t="s">
        <v>409</v>
      </c>
      <c r="C5" t="s">
        <v>552</v>
      </c>
      <c r="D5" t="s">
        <v>553</v>
      </c>
      <c r="E5" t="s">
        <v>554</v>
      </c>
      <c r="F5" t="s">
        <v>555</v>
      </c>
      <c r="G5" t="s">
        <v>556</v>
      </c>
      <c r="H5" t="s">
        <v>96</v>
      </c>
      <c r="I5" t="s">
        <v>18</v>
      </c>
    </row>
    <row r="6" spans="1:9" x14ac:dyDescent="0.3">
      <c r="A6" t="s">
        <v>557</v>
      </c>
      <c r="B6" t="s">
        <v>409</v>
      </c>
      <c r="C6" t="s">
        <v>558</v>
      </c>
      <c r="D6" t="s">
        <v>559</v>
      </c>
      <c r="E6" t="s">
        <v>560</v>
      </c>
      <c r="F6" t="s">
        <v>561</v>
      </c>
      <c r="G6" t="s">
        <v>562</v>
      </c>
      <c r="H6" t="s">
        <v>102</v>
      </c>
      <c r="I6" t="s">
        <v>18</v>
      </c>
    </row>
    <row r="7" spans="1:9" x14ac:dyDescent="0.3">
      <c r="A7" t="s">
        <v>563</v>
      </c>
      <c r="B7" t="s">
        <v>409</v>
      </c>
      <c r="C7" t="s">
        <v>564</v>
      </c>
      <c r="D7" t="s">
        <v>565</v>
      </c>
      <c r="E7" t="s">
        <v>566</v>
      </c>
      <c r="F7" t="s">
        <v>567</v>
      </c>
      <c r="G7" t="s">
        <v>568</v>
      </c>
      <c r="H7" t="s">
        <v>123</v>
      </c>
      <c r="I7" t="s">
        <v>18</v>
      </c>
    </row>
    <row r="8" spans="1:9" x14ac:dyDescent="0.3">
      <c r="A8" t="s">
        <v>569</v>
      </c>
      <c r="B8" t="s">
        <v>438</v>
      </c>
      <c r="C8" t="s">
        <v>570</v>
      </c>
      <c r="D8" t="s">
        <v>571</v>
      </c>
      <c r="E8" t="s">
        <v>572</v>
      </c>
      <c r="F8" t="s">
        <v>573</v>
      </c>
      <c r="G8" t="s">
        <v>574</v>
      </c>
      <c r="H8" t="s">
        <v>96</v>
      </c>
      <c r="I8" t="s">
        <v>18</v>
      </c>
    </row>
    <row r="9" spans="1:9" x14ac:dyDescent="0.3">
      <c r="A9" t="s">
        <v>575</v>
      </c>
      <c r="B9" t="s">
        <v>438</v>
      </c>
      <c r="C9" t="s">
        <v>576</v>
      </c>
      <c r="D9" t="s">
        <v>577</v>
      </c>
      <c r="E9" t="s">
        <v>578</v>
      </c>
      <c r="F9" t="s">
        <v>579</v>
      </c>
      <c r="G9" t="s">
        <v>580</v>
      </c>
      <c r="H9" t="s">
        <v>96</v>
      </c>
      <c r="I9" t="s">
        <v>18</v>
      </c>
    </row>
    <row r="10" spans="1:9" x14ac:dyDescent="0.3">
      <c r="A10" t="s">
        <v>581</v>
      </c>
      <c r="B10" t="s">
        <v>438</v>
      </c>
      <c r="C10" t="s">
        <v>582</v>
      </c>
      <c r="D10" t="s">
        <v>583</v>
      </c>
      <c r="E10" t="s">
        <v>584</v>
      </c>
      <c r="F10" t="s">
        <v>585</v>
      </c>
      <c r="G10" t="s">
        <v>586</v>
      </c>
      <c r="H10" t="s">
        <v>96</v>
      </c>
      <c r="I10" t="s">
        <v>18</v>
      </c>
    </row>
    <row r="11" spans="1:9" x14ac:dyDescent="0.3">
      <c r="A11" t="s">
        <v>587</v>
      </c>
      <c r="B11" t="s">
        <v>438</v>
      </c>
      <c r="C11" t="s">
        <v>588</v>
      </c>
      <c r="D11" t="s">
        <v>589</v>
      </c>
      <c r="E11" t="s">
        <v>590</v>
      </c>
      <c r="F11" t="s">
        <v>591</v>
      </c>
      <c r="G11" t="s">
        <v>592</v>
      </c>
      <c r="H11" t="s">
        <v>123</v>
      </c>
      <c r="I11" t="s">
        <v>18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2"/>
  <sheetViews>
    <sheetView workbookViewId="0"/>
  </sheetViews>
  <sheetFormatPr defaultRowHeight="14.4" x14ac:dyDescent="0.3"/>
  <sheetData>
    <row r="1" spans="1:9" x14ac:dyDescent="0.3">
      <c r="A1" t="s">
        <v>593</v>
      </c>
    </row>
    <row r="2" spans="1:9" x14ac:dyDescent="0.3">
      <c r="A2" t="s">
        <v>5</v>
      </c>
      <c r="B2" t="s">
        <v>405</v>
      </c>
      <c r="C2" t="s">
        <v>406</v>
      </c>
      <c r="D2" t="s">
        <v>407</v>
      </c>
      <c r="E2" t="s">
        <v>73</v>
      </c>
      <c r="F2" t="s">
        <v>72</v>
      </c>
      <c r="G2" t="s">
        <v>74</v>
      </c>
      <c r="H2" t="s">
        <v>4</v>
      </c>
      <c r="I2" t="s">
        <v>222</v>
      </c>
    </row>
    <row r="3" spans="1:9" x14ac:dyDescent="0.3">
      <c r="A3" t="s">
        <v>594</v>
      </c>
      <c r="B3" t="s">
        <v>409</v>
      </c>
      <c r="C3" t="s">
        <v>595</v>
      </c>
      <c r="D3" t="s">
        <v>596</v>
      </c>
      <c r="E3" t="s">
        <v>597</v>
      </c>
      <c r="F3" t="s">
        <v>598</v>
      </c>
      <c r="G3" t="s">
        <v>599</v>
      </c>
      <c r="H3" t="s">
        <v>96</v>
      </c>
      <c r="I3" t="s">
        <v>18</v>
      </c>
    </row>
    <row r="4" spans="1:9" x14ac:dyDescent="0.3">
      <c r="A4" t="s">
        <v>600</v>
      </c>
      <c r="B4" t="s">
        <v>409</v>
      </c>
      <c r="C4" t="s">
        <v>601</v>
      </c>
      <c r="D4" t="s">
        <v>602</v>
      </c>
      <c r="E4" t="s">
        <v>603</v>
      </c>
      <c r="F4" t="s">
        <v>604</v>
      </c>
      <c r="G4" t="s">
        <v>605</v>
      </c>
      <c r="H4" t="s">
        <v>96</v>
      </c>
      <c r="I4" t="s">
        <v>18</v>
      </c>
    </row>
    <row r="5" spans="1:9" x14ac:dyDescent="0.3">
      <c r="A5" t="s">
        <v>606</v>
      </c>
      <c r="B5" t="s">
        <v>409</v>
      </c>
      <c r="C5" t="s">
        <v>157</v>
      </c>
      <c r="D5" t="s">
        <v>607</v>
      </c>
      <c r="E5" t="s">
        <v>608</v>
      </c>
      <c r="F5" t="s">
        <v>609</v>
      </c>
      <c r="G5" t="s">
        <v>610</v>
      </c>
      <c r="H5" t="s">
        <v>96</v>
      </c>
      <c r="I5" t="s">
        <v>18</v>
      </c>
    </row>
    <row r="6" spans="1:9" x14ac:dyDescent="0.3">
      <c r="A6" t="s">
        <v>611</v>
      </c>
      <c r="B6" t="s">
        <v>409</v>
      </c>
      <c r="C6" t="s">
        <v>612</v>
      </c>
      <c r="D6" t="s">
        <v>613</v>
      </c>
      <c r="E6" t="s">
        <v>614</v>
      </c>
      <c r="F6" t="s">
        <v>615</v>
      </c>
      <c r="G6" t="s">
        <v>616</v>
      </c>
      <c r="H6" t="s">
        <v>102</v>
      </c>
      <c r="I6" t="s">
        <v>18</v>
      </c>
    </row>
    <row r="7" spans="1:9" x14ac:dyDescent="0.3">
      <c r="A7" t="s">
        <v>617</v>
      </c>
      <c r="B7" t="s">
        <v>409</v>
      </c>
      <c r="C7" t="s">
        <v>618</v>
      </c>
      <c r="D7" t="s">
        <v>619</v>
      </c>
      <c r="E7" t="s">
        <v>620</v>
      </c>
      <c r="F7" t="s">
        <v>621</v>
      </c>
      <c r="G7" t="s">
        <v>622</v>
      </c>
      <c r="H7" t="s">
        <v>123</v>
      </c>
      <c r="I7" t="s">
        <v>18</v>
      </c>
    </row>
    <row r="8" spans="1:9" x14ac:dyDescent="0.3">
      <c r="A8" t="s">
        <v>623</v>
      </c>
      <c r="B8" t="s">
        <v>438</v>
      </c>
      <c r="C8" t="s">
        <v>624</v>
      </c>
      <c r="D8" t="s">
        <v>625</v>
      </c>
      <c r="E8" t="s">
        <v>626</v>
      </c>
      <c r="F8" t="s">
        <v>627</v>
      </c>
      <c r="G8" t="s">
        <v>628</v>
      </c>
      <c r="H8" t="s">
        <v>96</v>
      </c>
      <c r="I8" t="s">
        <v>18</v>
      </c>
    </row>
    <row r="9" spans="1:9" x14ac:dyDescent="0.3">
      <c r="A9" t="s">
        <v>629</v>
      </c>
      <c r="B9" t="s">
        <v>438</v>
      </c>
      <c r="C9" t="s">
        <v>630</v>
      </c>
      <c r="D9" t="s">
        <v>631</v>
      </c>
      <c r="E9" t="s">
        <v>632</v>
      </c>
      <c r="F9" t="s">
        <v>633</v>
      </c>
      <c r="G9" t="s">
        <v>634</v>
      </c>
      <c r="H9" t="s">
        <v>102</v>
      </c>
      <c r="I9" t="s">
        <v>18</v>
      </c>
    </row>
    <row r="10" spans="1:9" x14ac:dyDescent="0.3">
      <c r="A10" t="s">
        <v>635</v>
      </c>
      <c r="B10" t="s">
        <v>438</v>
      </c>
      <c r="C10" t="s">
        <v>636</v>
      </c>
      <c r="D10" t="s">
        <v>637</v>
      </c>
      <c r="E10" t="s">
        <v>638</v>
      </c>
      <c r="F10" t="s">
        <v>639</v>
      </c>
      <c r="G10" t="s">
        <v>640</v>
      </c>
      <c r="H10" t="s">
        <v>96</v>
      </c>
      <c r="I10" t="s">
        <v>18</v>
      </c>
    </row>
    <row r="11" spans="1:9" x14ac:dyDescent="0.3">
      <c r="A11" t="s">
        <v>641</v>
      </c>
      <c r="B11" t="s">
        <v>438</v>
      </c>
      <c r="C11" t="s">
        <v>642</v>
      </c>
      <c r="D11" t="s">
        <v>643</v>
      </c>
      <c r="E11" t="s">
        <v>644</v>
      </c>
      <c r="F11" t="s">
        <v>645</v>
      </c>
      <c r="G11" t="s">
        <v>646</v>
      </c>
      <c r="H11" t="s">
        <v>96</v>
      </c>
      <c r="I11" t="s">
        <v>18</v>
      </c>
    </row>
    <row r="12" spans="1:9" x14ac:dyDescent="0.3">
      <c r="A12" t="s">
        <v>647</v>
      </c>
      <c r="B12" t="s">
        <v>438</v>
      </c>
      <c r="C12" t="s">
        <v>648</v>
      </c>
      <c r="D12" t="s">
        <v>649</v>
      </c>
      <c r="E12" t="s">
        <v>650</v>
      </c>
      <c r="F12" t="s">
        <v>651</v>
      </c>
      <c r="G12" t="s">
        <v>652</v>
      </c>
      <c r="H12" t="s">
        <v>102</v>
      </c>
      <c r="I12" t="s">
        <v>18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2"/>
  <sheetViews>
    <sheetView workbookViewId="0"/>
  </sheetViews>
  <sheetFormatPr defaultRowHeight="14.4" x14ac:dyDescent="0.3"/>
  <sheetData>
    <row r="1" spans="1:9" x14ac:dyDescent="0.3">
      <c r="A1" t="s">
        <v>653</v>
      </c>
    </row>
    <row r="2" spans="1:9" x14ac:dyDescent="0.3">
      <c r="A2" t="s">
        <v>5</v>
      </c>
      <c r="B2" t="s">
        <v>405</v>
      </c>
      <c r="C2" t="s">
        <v>406</v>
      </c>
      <c r="D2" t="s">
        <v>407</v>
      </c>
      <c r="E2" t="s">
        <v>73</v>
      </c>
      <c r="F2" t="s">
        <v>72</v>
      </c>
      <c r="G2" t="s">
        <v>74</v>
      </c>
      <c r="H2" t="s">
        <v>4</v>
      </c>
      <c r="I2" t="s">
        <v>222</v>
      </c>
    </row>
    <row r="3" spans="1:9" x14ac:dyDescent="0.3">
      <c r="A3" t="s">
        <v>654</v>
      </c>
      <c r="B3" t="s">
        <v>409</v>
      </c>
      <c r="C3" t="s">
        <v>655</v>
      </c>
      <c r="D3" t="s">
        <v>656</v>
      </c>
      <c r="E3" t="s">
        <v>657</v>
      </c>
      <c r="F3" t="s">
        <v>658</v>
      </c>
      <c r="G3" t="s">
        <v>659</v>
      </c>
      <c r="H3" t="s">
        <v>96</v>
      </c>
      <c r="I3" t="s">
        <v>18</v>
      </c>
    </row>
    <row r="4" spans="1:9" x14ac:dyDescent="0.3">
      <c r="A4" t="s">
        <v>660</v>
      </c>
      <c r="B4" t="s">
        <v>409</v>
      </c>
      <c r="C4" t="s">
        <v>661</v>
      </c>
      <c r="D4" t="s">
        <v>662</v>
      </c>
      <c r="E4" t="s">
        <v>663</v>
      </c>
      <c r="F4" t="s">
        <v>664</v>
      </c>
      <c r="G4" t="s">
        <v>665</v>
      </c>
      <c r="H4" t="s">
        <v>96</v>
      </c>
      <c r="I4" t="s">
        <v>18</v>
      </c>
    </row>
    <row r="5" spans="1:9" x14ac:dyDescent="0.3">
      <c r="A5" t="s">
        <v>666</v>
      </c>
      <c r="B5" t="s">
        <v>409</v>
      </c>
      <c r="C5" t="s">
        <v>667</v>
      </c>
      <c r="D5" t="s">
        <v>668</v>
      </c>
      <c r="E5" t="s">
        <v>669</v>
      </c>
      <c r="F5" t="s">
        <v>670</v>
      </c>
      <c r="G5" t="s">
        <v>671</v>
      </c>
      <c r="H5" t="s">
        <v>102</v>
      </c>
      <c r="I5" t="s">
        <v>18</v>
      </c>
    </row>
    <row r="6" spans="1:9" x14ac:dyDescent="0.3">
      <c r="A6" t="s">
        <v>672</v>
      </c>
      <c r="B6" t="s">
        <v>409</v>
      </c>
      <c r="C6" t="s">
        <v>673</v>
      </c>
      <c r="D6" t="s">
        <v>674</v>
      </c>
      <c r="E6" t="s">
        <v>675</v>
      </c>
      <c r="F6" t="s">
        <v>676</v>
      </c>
      <c r="G6" t="s">
        <v>677</v>
      </c>
      <c r="H6" t="s">
        <v>102</v>
      </c>
      <c r="I6" t="s">
        <v>18</v>
      </c>
    </row>
    <row r="7" spans="1:9" x14ac:dyDescent="0.3">
      <c r="A7" t="s">
        <v>678</v>
      </c>
      <c r="B7" t="s">
        <v>409</v>
      </c>
      <c r="C7" t="s">
        <v>679</v>
      </c>
      <c r="D7" t="s">
        <v>680</v>
      </c>
      <c r="E7" t="s">
        <v>681</v>
      </c>
      <c r="F7" t="s">
        <v>682</v>
      </c>
      <c r="G7" t="s">
        <v>683</v>
      </c>
      <c r="H7" t="s">
        <v>96</v>
      </c>
      <c r="I7" t="s">
        <v>18</v>
      </c>
    </row>
    <row r="8" spans="1:9" x14ac:dyDescent="0.3">
      <c r="A8" t="s">
        <v>684</v>
      </c>
      <c r="B8" t="s">
        <v>438</v>
      </c>
      <c r="C8" t="s">
        <v>685</v>
      </c>
      <c r="D8" t="s">
        <v>686</v>
      </c>
      <c r="E8" t="s">
        <v>687</v>
      </c>
      <c r="F8" t="s">
        <v>688</v>
      </c>
      <c r="G8" t="s">
        <v>689</v>
      </c>
      <c r="H8" t="s">
        <v>96</v>
      </c>
      <c r="I8" t="s">
        <v>18</v>
      </c>
    </row>
    <row r="9" spans="1:9" x14ac:dyDescent="0.3">
      <c r="A9" t="s">
        <v>690</v>
      </c>
      <c r="B9" t="s">
        <v>438</v>
      </c>
      <c r="C9" t="s">
        <v>691</v>
      </c>
      <c r="D9" t="s">
        <v>692</v>
      </c>
      <c r="E9" t="s">
        <v>693</v>
      </c>
      <c r="F9" t="s">
        <v>694</v>
      </c>
      <c r="G9" t="s">
        <v>695</v>
      </c>
      <c r="H9" t="s">
        <v>102</v>
      </c>
      <c r="I9" t="s">
        <v>18</v>
      </c>
    </row>
    <row r="10" spans="1:9" x14ac:dyDescent="0.3">
      <c r="A10" t="s">
        <v>696</v>
      </c>
      <c r="B10" t="s">
        <v>438</v>
      </c>
      <c r="C10" t="s">
        <v>697</v>
      </c>
      <c r="D10" t="s">
        <v>698</v>
      </c>
      <c r="E10" t="s">
        <v>699</v>
      </c>
      <c r="F10" t="s">
        <v>700</v>
      </c>
      <c r="G10" t="s">
        <v>701</v>
      </c>
      <c r="H10" t="s">
        <v>96</v>
      </c>
      <c r="I10" t="s">
        <v>18</v>
      </c>
    </row>
    <row r="11" spans="1:9" x14ac:dyDescent="0.3">
      <c r="A11" t="s">
        <v>702</v>
      </c>
      <c r="B11" t="s">
        <v>438</v>
      </c>
      <c r="C11" t="s">
        <v>703</v>
      </c>
      <c r="D11" t="s">
        <v>704</v>
      </c>
      <c r="E11" t="s">
        <v>705</v>
      </c>
      <c r="F11" t="s">
        <v>706</v>
      </c>
      <c r="G11" t="s">
        <v>707</v>
      </c>
      <c r="H11" t="s">
        <v>96</v>
      </c>
      <c r="I11" t="s">
        <v>18</v>
      </c>
    </row>
    <row r="12" spans="1:9" x14ac:dyDescent="0.3">
      <c r="A12" t="s">
        <v>708</v>
      </c>
      <c r="B12" t="s">
        <v>438</v>
      </c>
      <c r="C12" t="s">
        <v>709</v>
      </c>
      <c r="D12" t="s">
        <v>710</v>
      </c>
      <c r="E12" t="s">
        <v>711</v>
      </c>
      <c r="F12" t="s">
        <v>712</v>
      </c>
      <c r="G12" t="s">
        <v>713</v>
      </c>
      <c r="H12" t="s">
        <v>102</v>
      </c>
      <c r="I12" t="s">
        <v>18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2"/>
  <sheetViews>
    <sheetView workbookViewId="0"/>
  </sheetViews>
  <sheetFormatPr defaultRowHeight="14.4" x14ac:dyDescent="0.3"/>
  <sheetData>
    <row r="1" spans="1:9" x14ac:dyDescent="0.3">
      <c r="A1" t="s">
        <v>714</v>
      </c>
    </row>
    <row r="2" spans="1:9" x14ac:dyDescent="0.3">
      <c r="A2" t="s">
        <v>5</v>
      </c>
      <c r="B2" t="s">
        <v>405</v>
      </c>
      <c r="C2" t="s">
        <v>406</v>
      </c>
      <c r="D2" t="s">
        <v>407</v>
      </c>
      <c r="E2" t="s">
        <v>73</v>
      </c>
      <c r="F2" t="s">
        <v>72</v>
      </c>
      <c r="G2" t="s">
        <v>74</v>
      </c>
      <c r="H2" t="s">
        <v>4</v>
      </c>
      <c r="I2" t="s">
        <v>222</v>
      </c>
    </row>
    <row r="3" spans="1:9" x14ac:dyDescent="0.3">
      <c r="A3" t="s">
        <v>715</v>
      </c>
      <c r="B3" t="s">
        <v>409</v>
      </c>
      <c r="C3" t="s">
        <v>716</v>
      </c>
      <c r="D3" t="s">
        <v>206</v>
      </c>
      <c r="E3" t="s">
        <v>717</v>
      </c>
      <c r="F3" t="s">
        <v>718</v>
      </c>
      <c r="G3" t="s">
        <v>719</v>
      </c>
      <c r="H3" t="s">
        <v>102</v>
      </c>
      <c r="I3" t="s">
        <v>18</v>
      </c>
    </row>
    <row r="4" spans="1:9" x14ac:dyDescent="0.3">
      <c r="A4" t="s">
        <v>720</v>
      </c>
      <c r="B4" t="s">
        <v>409</v>
      </c>
      <c r="C4" t="s">
        <v>721</v>
      </c>
      <c r="D4" t="s">
        <v>722</v>
      </c>
      <c r="E4" t="s">
        <v>723</v>
      </c>
      <c r="F4" t="s">
        <v>724</v>
      </c>
      <c r="G4" t="s">
        <v>725</v>
      </c>
      <c r="H4" t="s">
        <v>96</v>
      </c>
      <c r="I4" t="s">
        <v>18</v>
      </c>
    </row>
    <row r="5" spans="1:9" x14ac:dyDescent="0.3">
      <c r="A5" t="s">
        <v>726</v>
      </c>
      <c r="B5" t="s">
        <v>409</v>
      </c>
      <c r="C5" t="s">
        <v>727</v>
      </c>
      <c r="D5" t="s">
        <v>728</v>
      </c>
      <c r="E5" t="s">
        <v>729</v>
      </c>
      <c r="F5" t="s">
        <v>730</v>
      </c>
      <c r="G5" t="s">
        <v>731</v>
      </c>
      <c r="H5" t="s">
        <v>96</v>
      </c>
      <c r="I5" t="s">
        <v>18</v>
      </c>
    </row>
    <row r="6" spans="1:9" x14ac:dyDescent="0.3">
      <c r="A6" t="s">
        <v>732</v>
      </c>
      <c r="B6" t="s">
        <v>409</v>
      </c>
      <c r="C6" t="s">
        <v>48</v>
      </c>
      <c r="D6" t="s">
        <v>733</v>
      </c>
      <c r="E6" t="s">
        <v>734</v>
      </c>
      <c r="F6" t="s">
        <v>735</v>
      </c>
      <c r="G6" t="s">
        <v>736</v>
      </c>
      <c r="H6" t="s">
        <v>102</v>
      </c>
      <c r="I6" t="s">
        <v>18</v>
      </c>
    </row>
    <row r="7" spans="1:9" x14ac:dyDescent="0.3">
      <c r="A7" t="s">
        <v>737</v>
      </c>
      <c r="B7" t="s">
        <v>409</v>
      </c>
      <c r="C7" t="s">
        <v>738</v>
      </c>
      <c r="D7" t="s">
        <v>739</v>
      </c>
      <c r="E7" t="s">
        <v>740</v>
      </c>
      <c r="F7" t="s">
        <v>741</v>
      </c>
      <c r="G7" t="s">
        <v>742</v>
      </c>
      <c r="H7" t="s">
        <v>102</v>
      </c>
      <c r="I7" t="s">
        <v>18</v>
      </c>
    </row>
    <row r="8" spans="1:9" x14ac:dyDescent="0.3">
      <c r="A8" t="s">
        <v>743</v>
      </c>
      <c r="B8" t="s">
        <v>438</v>
      </c>
      <c r="C8" t="s">
        <v>744</v>
      </c>
      <c r="D8" t="s">
        <v>745</v>
      </c>
      <c r="E8" t="s">
        <v>746</v>
      </c>
      <c r="F8" t="s">
        <v>747</v>
      </c>
      <c r="G8" t="s">
        <v>748</v>
      </c>
      <c r="H8" t="s">
        <v>96</v>
      </c>
      <c r="I8" t="s">
        <v>18</v>
      </c>
    </row>
    <row r="9" spans="1:9" x14ac:dyDescent="0.3">
      <c r="A9" t="s">
        <v>749</v>
      </c>
      <c r="B9" t="s">
        <v>438</v>
      </c>
      <c r="C9" t="s">
        <v>750</v>
      </c>
      <c r="D9" t="s">
        <v>751</v>
      </c>
      <c r="E9" t="s">
        <v>752</v>
      </c>
      <c r="F9" t="s">
        <v>753</v>
      </c>
      <c r="G9" t="s">
        <v>754</v>
      </c>
      <c r="H9" t="s">
        <v>96</v>
      </c>
      <c r="I9" t="s">
        <v>18</v>
      </c>
    </row>
    <row r="10" spans="1:9" x14ac:dyDescent="0.3">
      <c r="A10" t="s">
        <v>755</v>
      </c>
      <c r="B10" t="s">
        <v>438</v>
      </c>
      <c r="C10" t="s">
        <v>756</v>
      </c>
      <c r="D10" t="s">
        <v>757</v>
      </c>
      <c r="E10" t="s">
        <v>758</v>
      </c>
      <c r="F10" t="s">
        <v>759</v>
      </c>
      <c r="G10" t="s">
        <v>760</v>
      </c>
      <c r="H10" t="s">
        <v>102</v>
      </c>
      <c r="I10" t="s">
        <v>18</v>
      </c>
    </row>
    <row r="11" spans="1:9" x14ac:dyDescent="0.3">
      <c r="A11" t="s">
        <v>761</v>
      </c>
      <c r="B11" t="s">
        <v>438</v>
      </c>
      <c r="C11" t="s">
        <v>762</v>
      </c>
      <c r="D11" t="s">
        <v>763</v>
      </c>
      <c r="E11" t="s">
        <v>764</v>
      </c>
      <c r="F11" t="s">
        <v>765</v>
      </c>
      <c r="G11" t="s">
        <v>766</v>
      </c>
      <c r="H11" t="s">
        <v>96</v>
      </c>
      <c r="I11" t="s">
        <v>18</v>
      </c>
    </row>
    <row r="12" spans="1:9" x14ac:dyDescent="0.3">
      <c r="A12" t="s">
        <v>767</v>
      </c>
      <c r="B12" t="s">
        <v>438</v>
      </c>
      <c r="C12" t="s">
        <v>768</v>
      </c>
      <c r="D12" t="s">
        <v>769</v>
      </c>
      <c r="E12" t="s">
        <v>770</v>
      </c>
      <c r="F12" t="s">
        <v>771</v>
      </c>
      <c r="G12" t="s">
        <v>772</v>
      </c>
      <c r="H12" t="s">
        <v>102</v>
      </c>
      <c r="I12" t="s">
        <v>18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2"/>
  <sheetViews>
    <sheetView workbookViewId="0"/>
  </sheetViews>
  <sheetFormatPr defaultRowHeight="14.4" x14ac:dyDescent="0.3"/>
  <sheetData>
    <row r="1" spans="1:9" x14ac:dyDescent="0.3">
      <c r="A1" t="s">
        <v>773</v>
      </c>
    </row>
    <row r="2" spans="1:9" x14ac:dyDescent="0.3">
      <c r="A2" t="s">
        <v>5</v>
      </c>
      <c r="B2" t="s">
        <v>405</v>
      </c>
      <c r="C2" t="s">
        <v>406</v>
      </c>
      <c r="D2" t="s">
        <v>407</v>
      </c>
      <c r="E2" t="s">
        <v>73</v>
      </c>
      <c r="F2" t="s">
        <v>72</v>
      </c>
      <c r="G2" t="s">
        <v>74</v>
      </c>
      <c r="H2" t="s">
        <v>4</v>
      </c>
      <c r="I2" t="s">
        <v>222</v>
      </c>
    </row>
    <row r="3" spans="1:9" x14ac:dyDescent="0.3">
      <c r="A3" t="s">
        <v>774</v>
      </c>
      <c r="B3" t="s">
        <v>409</v>
      </c>
      <c r="C3" t="s">
        <v>775</v>
      </c>
      <c r="D3" t="s">
        <v>776</v>
      </c>
      <c r="E3" t="s">
        <v>777</v>
      </c>
      <c r="F3" t="s">
        <v>778</v>
      </c>
      <c r="G3" t="s">
        <v>779</v>
      </c>
      <c r="H3" t="s">
        <v>96</v>
      </c>
      <c r="I3" t="s">
        <v>18</v>
      </c>
    </row>
    <row r="4" spans="1:9" x14ac:dyDescent="0.3">
      <c r="A4" t="s">
        <v>780</v>
      </c>
      <c r="B4" t="s">
        <v>409</v>
      </c>
      <c r="C4" t="s">
        <v>781</v>
      </c>
      <c r="D4" t="s">
        <v>782</v>
      </c>
      <c r="E4" t="s">
        <v>783</v>
      </c>
      <c r="F4" t="s">
        <v>784</v>
      </c>
      <c r="G4" t="s">
        <v>785</v>
      </c>
      <c r="H4" t="s">
        <v>96</v>
      </c>
      <c r="I4" t="s">
        <v>18</v>
      </c>
    </row>
    <row r="5" spans="1:9" x14ac:dyDescent="0.3">
      <c r="A5" t="s">
        <v>786</v>
      </c>
      <c r="B5" t="s">
        <v>409</v>
      </c>
      <c r="C5" t="s">
        <v>787</v>
      </c>
      <c r="D5" t="s">
        <v>788</v>
      </c>
      <c r="E5" t="s">
        <v>789</v>
      </c>
      <c r="F5" t="s">
        <v>790</v>
      </c>
      <c r="G5" t="s">
        <v>791</v>
      </c>
      <c r="H5" t="s">
        <v>102</v>
      </c>
      <c r="I5" t="s">
        <v>18</v>
      </c>
    </row>
    <row r="6" spans="1:9" x14ac:dyDescent="0.3">
      <c r="A6" t="s">
        <v>792</v>
      </c>
      <c r="B6" t="s">
        <v>409</v>
      </c>
      <c r="C6" t="s">
        <v>793</v>
      </c>
      <c r="D6" t="s">
        <v>794</v>
      </c>
      <c r="E6" t="s">
        <v>795</v>
      </c>
      <c r="F6" t="s">
        <v>796</v>
      </c>
      <c r="G6" t="s">
        <v>797</v>
      </c>
      <c r="H6" t="s">
        <v>102</v>
      </c>
      <c r="I6" t="s">
        <v>18</v>
      </c>
    </row>
    <row r="7" spans="1:9" x14ac:dyDescent="0.3">
      <c r="A7" t="s">
        <v>798</v>
      </c>
      <c r="B7" t="s">
        <v>409</v>
      </c>
      <c r="C7" t="s">
        <v>799</v>
      </c>
      <c r="D7" t="s">
        <v>800</v>
      </c>
      <c r="E7" t="s">
        <v>801</v>
      </c>
      <c r="F7" t="s">
        <v>802</v>
      </c>
      <c r="G7" t="s">
        <v>803</v>
      </c>
      <c r="H7" t="s">
        <v>123</v>
      </c>
      <c r="I7" t="s">
        <v>18</v>
      </c>
    </row>
    <row r="8" spans="1:9" x14ac:dyDescent="0.3">
      <c r="A8" t="s">
        <v>804</v>
      </c>
      <c r="B8" t="s">
        <v>438</v>
      </c>
      <c r="C8" t="s">
        <v>805</v>
      </c>
      <c r="D8" t="s">
        <v>806</v>
      </c>
      <c r="E8" t="s">
        <v>807</v>
      </c>
      <c r="F8" t="s">
        <v>808</v>
      </c>
      <c r="G8" t="s">
        <v>809</v>
      </c>
      <c r="H8" t="s">
        <v>123</v>
      </c>
      <c r="I8" t="s">
        <v>18</v>
      </c>
    </row>
    <row r="9" spans="1:9" x14ac:dyDescent="0.3">
      <c r="A9" t="s">
        <v>810</v>
      </c>
      <c r="B9" t="s">
        <v>438</v>
      </c>
      <c r="C9" t="s">
        <v>811</v>
      </c>
      <c r="D9" t="s">
        <v>812</v>
      </c>
      <c r="E9" t="s">
        <v>813</v>
      </c>
      <c r="F9" t="s">
        <v>814</v>
      </c>
      <c r="G9" t="s">
        <v>815</v>
      </c>
      <c r="H9" t="s">
        <v>123</v>
      </c>
      <c r="I9" t="s">
        <v>18</v>
      </c>
    </row>
    <row r="10" spans="1:9" x14ac:dyDescent="0.3">
      <c r="A10" t="s">
        <v>816</v>
      </c>
      <c r="B10" t="s">
        <v>438</v>
      </c>
      <c r="C10" t="s">
        <v>817</v>
      </c>
      <c r="D10" t="s">
        <v>818</v>
      </c>
      <c r="E10" t="s">
        <v>819</v>
      </c>
      <c r="F10" t="s">
        <v>820</v>
      </c>
      <c r="G10" t="s">
        <v>821</v>
      </c>
      <c r="H10" t="s">
        <v>102</v>
      </c>
      <c r="I10" t="s">
        <v>18</v>
      </c>
    </row>
    <row r="11" spans="1:9" x14ac:dyDescent="0.3">
      <c r="A11" t="s">
        <v>822</v>
      </c>
      <c r="B11" t="s">
        <v>438</v>
      </c>
      <c r="C11" t="s">
        <v>823</v>
      </c>
      <c r="D11" t="s">
        <v>824</v>
      </c>
      <c r="E11" t="s">
        <v>825</v>
      </c>
      <c r="F11" t="s">
        <v>826</v>
      </c>
      <c r="G11" t="s">
        <v>827</v>
      </c>
      <c r="H11" t="s">
        <v>123</v>
      </c>
      <c r="I11" t="s">
        <v>18</v>
      </c>
    </row>
    <row r="12" spans="1:9" x14ac:dyDescent="0.3">
      <c r="A12" t="s">
        <v>828</v>
      </c>
      <c r="B12" t="s">
        <v>438</v>
      </c>
      <c r="C12" t="s">
        <v>829</v>
      </c>
      <c r="D12" t="s">
        <v>830</v>
      </c>
      <c r="E12" t="s">
        <v>831</v>
      </c>
      <c r="F12" t="s">
        <v>832</v>
      </c>
      <c r="G12" t="s">
        <v>833</v>
      </c>
      <c r="H12" t="s">
        <v>123</v>
      </c>
      <c r="I12"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12</vt:i4>
      </vt:variant>
    </vt:vector>
  </HeadingPairs>
  <TitlesOfParts>
    <vt:vector size="12" baseType="lpstr">
      <vt:lpstr>Requirement Traceability Matrix</vt:lpstr>
      <vt:lpstr>Test Cases</vt:lpstr>
      <vt:lpstr>Bugs</vt:lpstr>
      <vt:lpstr>Legend</vt:lpstr>
      <vt:lpstr>Summary</vt:lpstr>
      <vt:lpstr>TS-001</vt:lpstr>
      <vt:lpstr>TS-002</vt:lpstr>
      <vt:lpstr>TS-003</vt:lpstr>
      <vt:lpstr>TS-004</vt:lpstr>
      <vt:lpstr>TS-005</vt:lpstr>
      <vt:lpstr>TS-006</vt:lpstr>
      <vt:lpstr>TS-007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Victus</cp:lastModifiedBy>
  <cp:revision>0</cp:revision>
  <dcterms:created xsi:type="dcterms:W3CDTF">2026-03-24T14:41:05Z</dcterms:created>
  <dcterms:modified xsi:type="dcterms:W3CDTF">2026-08-02T09:23:15Z</dcterms:modified>
  <dc:language>en-US</dc:language>
</cp:coreProperties>
</file>